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negocioslozamora-my.sharepoint.com/personal/lancelot_tavara_grupolozamora_com_pe/Documents/"/>
    </mc:Choice>
  </mc:AlternateContent>
  <xr:revisionPtr revIDLastSave="176" documentId="8_{1B9EAB50-EBA7-4E9E-9D02-FEC1170549EE}" xr6:coauthVersionLast="47" xr6:coauthVersionMax="47" xr10:uidLastSave="{FF0C36A3-F4F9-4159-B43D-E5F67C0BE54E}"/>
  <bookViews>
    <workbookView xWindow="-120" yWindow="-120" windowWidth="20730" windowHeight="11040" tabRatio="776" xr2:uid="{E0631F77-4109-487C-8B09-1A3670BA9BC0}"/>
  </bookViews>
  <sheets>
    <sheet name="Data" sheetId="1" r:id="rId1"/>
    <sheet name="Reportería" sheetId="2" r:id="rId2"/>
    <sheet name="Fórmulas" sheetId="9" r:id="rId3"/>
    <sheet name="Productividad" sheetId="7" r:id="rId4"/>
    <sheet name="HC" sheetId="4" r:id="rId5"/>
    <sheet name="Ejecutivos" sheetId="3" r:id="rId6"/>
    <sheet name="Avance" sheetId="8" r:id="rId7"/>
    <sheet name="Funnel" sheetId="16" r:id="rId8"/>
    <sheet name="C" sheetId="15" state="hidden" r:id="rId9"/>
    <sheet name="BV" sheetId="17" r:id="rId10"/>
    <sheet name="Obs" sheetId="5" r:id="rId11"/>
  </sheets>
  <definedNames>
    <definedName name="_xlnm._FilterDatabase" localSheetId="8" hidden="1">'C'!$E$51:$F$182</definedName>
    <definedName name="_xlnm._FilterDatabase" localSheetId="7" hidden="1">Funnel!$H$1:$M$28</definedName>
    <definedName name="_xlnm._FilterDatabase" localSheetId="10" hidden="1">Obs!$A$1:$D$5</definedName>
    <definedName name="_xlcn.WorksheetConnection_DataIzipay.xlsxData." hidden="1">Data.[]</definedName>
  </definedNames>
  <calcPr calcId="191029"/>
  <pivotCaches>
    <pivotCache cacheId="18" r:id="rId12"/>
    <pivotCache cacheId="19" r:id="rId13"/>
    <pivotCache cacheId="20" r:id="rId14"/>
    <pivotCache cacheId="21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Data Izipay.xlsx!Data."/>
        </x15:modelTables>
        <x15:extLst>
          <ext xmlns:x16="http://schemas.microsoft.com/office/spreadsheetml/2014/11/main" uri="{9835A34E-60A6-4A7C-AAB8-D5F71C897F49}">
            <x16:modelTimeGroupings>
              <x16:modelTimeGrouping tableName="Data" columnName="Periodo" columnId="Periodo">
                <x16:calculatedTimeColumn columnName="Periodo (índice de meses)" columnId="Periodo (índice de meses)" contentType="monthsindex" isSelected="1"/>
                <x16:calculatedTimeColumn columnName="Periodo (mes)" columnId="Periodo (mes)" contentType="months" isSelected="1"/>
              </x16:modelTimeGrouping>
              <x16:modelTimeGrouping tableName="Data" columnName="Fecha de Instalación" columnId="Fecha de Instalación">
                <x16:calculatedTimeColumn columnName="Fecha de Instalación (índice de meses)" columnId="Fecha de Instalación (índice de meses)" contentType="monthsindex" isSelected="1"/>
                <x16:calculatedTimeColumn columnName="Fecha de Instalación (mes)" columnId="Fecha de Instalación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K133" i="1" s="1"/>
  <c r="L133" i="1" s="1"/>
  <c r="E134" i="1"/>
  <c r="E135" i="1"/>
  <c r="E136" i="1"/>
  <c r="E137" i="1"/>
  <c r="E138" i="1"/>
  <c r="E139" i="1"/>
  <c r="E140" i="1"/>
  <c r="E141" i="1"/>
  <c r="E142" i="1"/>
  <c r="E143" i="1"/>
  <c r="E144" i="1"/>
  <c r="K144" i="1" s="1"/>
  <c r="L144" i="1" s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W2" i="16"/>
  <c r="C22" i="8"/>
  <c r="C18" i="8"/>
  <c r="C19" i="8"/>
  <c r="C20" i="8"/>
  <c r="C21" i="8"/>
  <c r="Q46" i="8"/>
  <c r="Q43" i="8"/>
  <c r="Q44" i="8"/>
  <c r="Q45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D18" i="8"/>
  <c r="D19" i="8"/>
  <c r="D20" i="8"/>
  <c r="D21" i="8"/>
  <c r="D22" i="8"/>
  <c r="E18" i="8"/>
  <c r="E19" i="8"/>
  <c r="E20" i="8"/>
  <c r="E21" i="8"/>
  <c r="E22" i="8"/>
  <c r="F18" i="8"/>
  <c r="F19" i="8"/>
  <c r="F20" i="8"/>
  <c r="F21" i="8"/>
  <c r="F22" i="8"/>
  <c r="G18" i="8"/>
  <c r="G19" i="8"/>
  <c r="G20" i="8"/>
  <c r="G21" i="8"/>
  <c r="G22" i="8"/>
  <c r="H18" i="8"/>
  <c r="H19" i="8"/>
  <c r="H20" i="8"/>
  <c r="H21" i="8"/>
  <c r="H22" i="8"/>
  <c r="I18" i="8"/>
  <c r="I19" i="8"/>
  <c r="I20" i="8"/>
  <c r="I21" i="8"/>
  <c r="I22" i="8"/>
  <c r="J18" i="8"/>
  <c r="J19" i="8"/>
  <c r="J20" i="8"/>
  <c r="J21" i="8"/>
  <c r="J22" i="8"/>
  <c r="AF114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F144" i="1"/>
  <c r="AN144" i="1" s="1"/>
  <c r="A144" i="1"/>
  <c r="C144" i="1" s="1"/>
  <c r="P144" i="1"/>
  <c r="S144" i="1"/>
  <c r="AC144" i="1" s="1"/>
  <c r="X144" i="1" a="1"/>
  <c r="X144" i="1" s="1"/>
  <c r="Y144" i="1"/>
  <c r="Z144" i="1" s="1"/>
  <c r="AF132" i="1"/>
  <c r="AF133" i="1"/>
  <c r="AO133" i="1" s="1"/>
  <c r="AF134" i="1"/>
  <c r="AQ134" i="1" s="1"/>
  <c r="AF135" i="1"/>
  <c r="AM135" i="1" s="1"/>
  <c r="AF136" i="1"/>
  <c r="AF137" i="1"/>
  <c r="AF138" i="1"/>
  <c r="AL138" i="1" s="1"/>
  <c r="AF139" i="1"/>
  <c r="AL139" i="1" s="1"/>
  <c r="AF140" i="1"/>
  <c r="AL140" i="1" s="1"/>
  <c r="AF141" i="1"/>
  <c r="AM141" i="1" s="1"/>
  <c r="AF142" i="1"/>
  <c r="AO142" i="1" s="1"/>
  <c r="AF143" i="1"/>
  <c r="AO143" i="1" s="1"/>
  <c r="A132" i="1"/>
  <c r="A133" i="1"/>
  <c r="O133" i="1" s="1"/>
  <c r="A134" i="1"/>
  <c r="N134" i="1" s="1"/>
  <c r="A135" i="1"/>
  <c r="O135" i="1" s="1"/>
  <c r="A136" i="1"/>
  <c r="N136" i="1" s="1"/>
  <c r="A137" i="1"/>
  <c r="N137" i="1" s="1"/>
  <c r="A138" i="1"/>
  <c r="A139" i="1"/>
  <c r="N139" i="1" s="1"/>
  <c r="A140" i="1"/>
  <c r="N140" i="1" s="1"/>
  <c r="A141" i="1"/>
  <c r="N141" i="1" s="1"/>
  <c r="A142" i="1"/>
  <c r="O142" i="1" s="1"/>
  <c r="A143" i="1"/>
  <c r="O143" i="1" s="1"/>
  <c r="C132" i="1"/>
  <c r="C133" i="1"/>
  <c r="C134" i="1"/>
  <c r="C135" i="1"/>
  <c r="C136" i="1"/>
  <c r="C137" i="1"/>
  <c r="C138" i="1"/>
  <c r="C139" i="1"/>
  <c r="C140" i="1"/>
  <c r="C141" i="1"/>
  <c r="C142" i="1"/>
  <c r="C143" i="1"/>
  <c r="K132" i="1"/>
  <c r="L132" i="1" s="1"/>
  <c r="K134" i="1"/>
  <c r="K135" i="1"/>
  <c r="L135" i="1" s="1"/>
  <c r="K136" i="1"/>
  <c r="L136" i="1" s="1"/>
  <c r="K137" i="1"/>
  <c r="L137" i="1" s="1"/>
  <c r="K138" i="1"/>
  <c r="L138" i="1" s="1"/>
  <c r="K139" i="1"/>
  <c r="L139" i="1" s="1"/>
  <c r="K140" i="1"/>
  <c r="L140" i="1" s="1"/>
  <c r="K141" i="1"/>
  <c r="L141" i="1" s="1"/>
  <c r="K142" i="1"/>
  <c r="L142" i="1" s="1"/>
  <c r="K143" i="1"/>
  <c r="L143" i="1" s="1"/>
  <c r="L134" i="1"/>
  <c r="N132" i="1"/>
  <c r="N138" i="1"/>
  <c r="O132" i="1"/>
  <c r="O138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S132" i="1"/>
  <c r="AC132" i="1" s="1"/>
  <c r="S133" i="1"/>
  <c r="AC133" i="1" s="1"/>
  <c r="S134" i="1"/>
  <c r="AC134" i="1" s="1"/>
  <c r="S135" i="1"/>
  <c r="AC135" i="1" s="1"/>
  <c r="S136" i="1"/>
  <c r="U136" i="1" s="1"/>
  <c r="S137" i="1"/>
  <c r="T137" i="1" s="1"/>
  <c r="S138" i="1"/>
  <c r="T138" i="1" s="1"/>
  <c r="S139" i="1"/>
  <c r="V139" i="1" s="1"/>
  <c r="S140" i="1"/>
  <c r="T140" i="1" s="1"/>
  <c r="S141" i="1"/>
  <c r="T141" i="1" s="1"/>
  <c r="S142" i="1"/>
  <c r="U142" i="1" s="1"/>
  <c r="S143" i="1"/>
  <c r="U143" i="1" s="1"/>
  <c r="T132" i="1"/>
  <c r="T133" i="1"/>
  <c r="T134" i="1"/>
  <c r="T143" i="1"/>
  <c r="X132" i="1" a="1"/>
  <c r="X132" i="1" s="1"/>
  <c r="X133" i="1" a="1"/>
  <c r="X133" i="1" s="1"/>
  <c r="X134" i="1" a="1"/>
  <c r="X134" i="1" s="1"/>
  <c r="X135" i="1" a="1"/>
  <c r="X135" i="1" s="1"/>
  <c r="X136" i="1" a="1"/>
  <c r="X136" i="1" s="1"/>
  <c r="X137" i="1" a="1"/>
  <c r="X137" i="1" s="1"/>
  <c r="X138" i="1" a="1"/>
  <c r="X138" i="1" s="1"/>
  <c r="X139" i="1" a="1"/>
  <c r="X139" i="1" s="1"/>
  <c r="X140" i="1" a="1"/>
  <c r="X140" i="1" s="1"/>
  <c r="X141" i="1" a="1"/>
  <c r="X141" i="1" s="1"/>
  <c r="X142" i="1" a="1"/>
  <c r="X142" i="1" s="1"/>
  <c r="X143" i="1" a="1"/>
  <c r="X143" i="1" s="1"/>
  <c r="Y132" i="1"/>
  <c r="Y133" i="1"/>
  <c r="Z133" i="1" s="1"/>
  <c r="Y134" i="1"/>
  <c r="Z134" i="1" s="1"/>
  <c r="Y135" i="1"/>
  <c r="Z135" i="1" s="1"/>
  <c r="Y136" i="1"/>
  <c r="Z136" i="1" s="1"/>
  <c r="Y137" i="1"/>
  <c r="Z137" i="1" s="1"/>
  <c r="Y138" i="1"/>
  <c r="Z138" i="1" s="1"/>
  <c r="Y139" i="1"/>
  <c r="Z139" i="1" s="1"/>
  <c r="Y140" i="1"/>
  <c r="Z140" i="1" s="1"/>
  <c r="Y141" i="1"/>
  <c r="Z141" i="1" s="1"/>
  <c r="Y142" i="1"/>
  <c r="Z142" i="1" s="1"/>
  <c r="Y143" i="1"/>
  <c r="Z143" i="1" s="1"/>
  <c r="Z132" i="1"/>
  <c r="AD132" i="1"/>
  <c r="AD135" i="1"/>
  <c r="AD136" i="1"/>
  <c r="AD137" i="1"/>
  <c r="AD138" i="1"/>
  <c r="AD140" i="1"/>
  <c r="AD141" i="1"/>
  <c r="AD142" i="1"/>
  <c r="AE132" i="1"/>
  <c r="AE133" i="1"/>
  <c r="AE135" i="1"/>
  <c r="AE136" i="1"/>
  <c r="AE137" i="1"/>
  <c r="AE138" i="1"/>
  <c r="AE140" i="1"/>
  <c r="AE141" i="1"/>
  <c r="AE142" i="1"/>
  <c r="AL132" i="1"/>
  <c r="AL133" i="1"/>
  <c r="AL134" i="1"/>
  <c r="AL135" i="1"/>
  <c r="AL136" i="1"/>
  <c r="AL137" i="1"/>
  <c r="AM132" i="1"/>
  <c r="AM136" i="1"/>
  <c r="AM137" i="1"/>
  <c r="AN132" i="1"/>
  <c r="AN135" i="1"/>
  <c r="AN136" i="1"/>
  <c r="AN137" i="1"/>
  <c r="AO132" i="1"/>
  <c r="AO136" i="1"/>
  <c r="AO137" i="1"/>
  <c r="AP132" i="1"/>
  <c r="AP135" i="1"/>
  <c r="AP136" i="1"/>
  <c r="AP137" i="1"/>
  <c r="AQ132" i="1"/>
  <c r="AQ133" i="1"/>
  <c r="AQ136" i="1"/>
  <c r="AQ137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AP134" i="1" l="1"/>
  <c r="AN133" i="1"/>
  <c r="AN134" i="1"/>
  <c r="AP144" i="1"/>
  <c r="AD139" i="1"/>
  <c r="AP133" i="1"/>
  <c r="AM134" i="1"/>
  <c r="AE139" i="1"/>
  <c r="O134" i="1"/>
  <c r="AO134" i="1"/>
  <c r="AM133" i="1"/>
  <c r="N144" i="1"/>
  <c r="AD134" i="1"/>
  <c r="AE134" i="1"/>
  <c r="AD133" i="1"/>
  <c r="N143" i="1"/>
  <c r="AM144" i="1"/>
  <c r="N142" i="1"/>
  <c r="AL144" i="1"/>
  <c r="T142" i="1"/>
  <c r="AD144" i="1"/>
  <c r="AE143" i="1"/>
  <c r="AD143" i="1"/>
  <c r="AC143" i="1"/>
  <c r="T139" i="1"/>
  <c r="AQ135" i="1"/>
  <c r="AO135" i="1"/>
  <c r="AC141" i="1"/>
  <c r="N135" i="1"/>
  <c r="AC142" i="1"/>
  <c r="N133" i="1"/>
  <c r="U144" i="1"/>
  <c r="V142" i="1"/>
  <c r="U139" i="1"/>
  <c r="AQ144" i="1"/>
  <c r="AO144" i="1"/>
  <c r="AR144" i="1" s="1"/>
  <c r="V144" i="1"/>
  <c r="O136" i="1"/>
  <c r="T135" i="1"/>
  <c r="T144" i="1"/>
  <c r="AC140" i="1"/>
  <c r="V143" i="1"/>
  <c r="AC139" i="1"/>
  <c r="AE144" i="1"/>
  <c r="O144" i="1"/>
  <c r="O141" i="1"/>
  <c r="O140" i="1"/>
  <c r="O139" i="1"/>
  <c r="O137" i="1"/>
  <c r="AN143" i="1"/>
  <c r="AQ142" i="1"/>
  <c r="AP142" i="1"/>
  <c r="AN142" i="1"/>
  <c r="AM142" i="1"/>
  <c r="AL142" i="1"/>
  <c r="AQ140" i="1"/>
  <c r="AP140" i="1"/>
  <c r="AO140" i="1"/>
  <c r="AN140" i="1"/>
  <c r="AM140" i="1"/>
  <c r="AP143" i="1"/>
  <c r="AM143" i="1"/>
  <c r="AL143" i="1"/>
  <c r="AR143" i="1" s="1"/>
  <c r="AQ141" i="1"/>
  <c r="AN141" i="1"/>
  <c r="AL141" i="1"/>
  <c r="AQ139" i="1"/>
  <c r="AP139" i="1"/>
  <c r="AO139" i="1"/>
  <c r="AN139" i="1"/>
  <c r="AM139" i="1"/>
  <c r="AQ143" i="1"/>
  <c r="AO141" i="1"/>
  <c r="AQ138" i="1"/>
  <c r="AP138" i="1"/>
  <c r="AO138" i="1"/>
  <c r="AN138" i="1"/>
  <c r="AM138" i="1"/>
  <c r="AP141" i="1"/>
  <c r="V137" i="1"/>
  <c r="U137" i="1"/>
  <c r="T136" i="1"/>
  <c r="V135" i="1"/>
  <c r="U135" i="1"/>
  <c r="AC138" i="1"/>
  <c r="V134" i="1"/>
  <c r="U134" i="1"/>
  <c r="AC137" i="1"/>
  <c r="V133" i="1"/>
  <c r="U133" i="1"/>
  <c r="AR133" i="1" s="1"/>
  <c r="AC136" i="1"/>
  <c r="V132" i="1"/>
  <c r="U132" i="1"/>
  <c r="AR132" i="1" s="1"/>
  <c r="U138" i="1"/>
  <c r="V138" i="1"/>
  <c r="V136" i="1"/>
  <c r="V141" i="1"/>
  <c r="U141" i="1"/>
  <c r="V140" i="1"/>
  <c r="U140" i="1"/>
  <c r="AQ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P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O2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L2" i="1"/>
  <c r="Z43" i="8" a="1"/>
  <c r="Z43" i="8" s="1"/>
  <c r="A72" i="7"/>
  <c r="A73" i="7"/>
  <c r="A74" i="7"/>
  <c r="A75" i="7"/>
  <c r="A76" i="7"/>
  <c r="M72" i="7"/>
  <c r="M73" i="7"/>
  <c r="M74" i="7"/>
  <c r="M75" i="7"/>
  <c r="M76" i="7"/>
  <c r="N72" i="7"/>
  <c r="N73" i="7"/>
  <c r="N74" i="7"/>
  <c r="N75" i="7"/>
  <c r="N76" i="7"/>
  <c r="O72" i="7" a="1"/>
  <c r="O72" i="7" s="1"/>
  <c r="O73" i="7" a="1"/>
  <c r="O73" i="7" s="1"/>
  <c r="O74" i="7" a="1"/>
  <c r="O74" i="7" s="1"/>
  <c r="O75" i="7" a="1"/>
  <c r="O75" i="7" s="1"/>
  <c r="O76" i="7" a="1"/>
  <c r="O76" i="7" s="1"/>
  <c r="P72" i="7"/>
  <c r="P73" i="7"/>
  <c r="P74" i="7"/>
  <c r="P75" i="7"/>
  <c r="P76" i="7"/>
  <c r="Q72" i="7"/>
  <c r="Q73" i="7"/>
  <c r="Q74" i="7"/>
  <c r="Q75" i="7"/>
  <c r="Q76" i="7"/>
  <c r="R72" i="7"/>
  <c r="R73" i="7"/>
  <c r="R74" i="7"/>
  <c r="R75" i="7"/>
  <c r="R76" i="7"/>
  <c r="S72" i="7"/>
  <c r="S73" i="7"/>
  <c r="S74" i="7"/>
  <c r="S75" i="7"/>
  <c r="S76" i="7"/>
  <c r="P3" i="3"/>
  <c r="Q3" i="3"/>
  <c r="R3" i="3"/>
  <c r="S3" i="3"/>
  <c r="P17" i="3"/>
  <c r="Q17" i="3"/>
  <c r="R17" i="3"/>
  <c r="S17" i="3"/>
  <c r="P16" i="3"/>
  <c r="Q16" i="3"/>
  <c r="R16" i="3"/>
  <c r="S16" i="3"/>
  <c r="P24" i="3"/>
  <c r="Q24" i="3"/>
  <c r="R24" i="3"/>
  <c r="S24" i="3"/>
  <c r="P13" i="3"/>
  <c r="Q13" i="3"/>
  <c r="R13" i="3"/>
  <c r="S13" i="3"/>
  <c r="AO60" i="1"/>
  <c r="AO97" i="1"/>
  <c r="AL101" i="1"/>
  <c r="AL105" i="1"/>
  <c r="AL111" i="1"/>
  <c r="AL113" i="1"/>
  <c r="AL114" i="1"/>
  <c r="AL115" i="1"/>
  <c r="AL116" i="1"/>
  <c r="AO117" i="1"/>
  <c r="AO121" i="1"/>
  <c r="AO122" i="1"/>
  <c r="AL123" i="1"/>
  <c r="AL124" i="1"/>
  <c r="AL127" i="1"/>
  <c r="AO129" i="1"/>
  <c r="AL131" i="1"/>
  <c r="AL120" i="1"/>
  <c r="AL100" i="1"/>
  <c r="AL99" i="1"/>
  <c r="AO96" i="1"/>
  <c r="A129" i="1"/>
  <c r="A130" i="1"/>
  <c r="A131" i="1"/>
  <c r="K129" i="1"/>
  <c r="L129" i="1" s="1"/>
  <c r="K130" i="1"/>
  <c r="L130" i="1" s="1"/>
  <c r="K131" i="1"/>
  <c r="L131" i="1" s="1"/>
  <c r="P129" i="1"/>
  <c r="P130" i="1"/>
  <c r="P131" i="1"/>
  <c r="X129" i="1" a="1"/>
  <c r="X129" i="1" s="1"/>
  <c r="X130" i="1" a="1"/>
  <c r="X130" i="1" s="1"/>
  <c r="X131" i="1" a="1"/>
  <c r="X131" i="1" s="1"/>
  <c r="AO130" i="1"/>
  <c r="AO131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K103" i="1"/>
  <c r="L103" i="1" s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P103" i="1"/>
  <c r="P104" i="1"/>
  <c r="P105" i="1"/>
  <c r="P106" i="1"/>
  <c r="P107" i="1"/>
  <c r="P108" i="1"/>
  <c r="P109" i="1"/>
  <c r="P110" i="1"/>
  <c r="P111" i="1"/>
  <c r="P112" i="1"/>
  <c r="P113" i="1"/>
  <c r="P114" i="1"/>
  <c r="X103" i="1" a="1"/>
  <c r="X103" i="1" s="1"/>
  <c r="X104" i="1" a="1"/>
  <c r="X104" i="1" s="1"/>
  <c r="X105" i="1" a="1"/>
  <c r="X105" i="1" s="1"/>
  <c r="X106" i="1" a="1"/>
  <c r="X106" i="1" s="1"/>
  <c r="X107" i="1" a="1"/>
  <c r="X107" i="1" s="1"/>
  <c r="X108" i="1" a="1"/>
  <c r="X108" i="1" s="1"/>
  <c r="X109" i="1" a="1"/>
  <c r="X109" i="1" s="1"/>
  <c r="X110" i="1" a="1"/>
  <c r="X110" i="1" s="1"/>
  <c r="X111" i="1" a="1"/>
  <c r="X111" i="1" s="1"/>
  <c r="X112" i="1" a="1"/>
  <c r="X112" i="1" s="1"/>
  <c r="X113" i="1" a="1"/>
  <c r="X113" i="1" s="1"/>
  <c r="X114" i="1" a="1"/>
  <c r="X114" i="1" s="1"/>
  <c r="AL106" i="1"/>
  <c r="AL107" i="1"/>
  <c r="AO106" i="1"/>
  <c r="AO107" i="1"/>
  <c r="AO114" i="1"/>
  <c r="A59" i="1"/>
  <c r="A60" i="1"/>
  <c r="K59" i="1"/>
  <c r="L59" i="1" s="1"/>
  <c r="K60" i="1"/>
  <c r="L60" i="1" s="1"/>
  <c r="P59" i="1"/>
  <c r="P60" i="1"/>
  <c r="X59" i="1" a="1"/>
  <c r="X59" i="1" s="1"/>
  <c r="X60" i="1" a="1"/>
  <c r="X60" i="1" s="1"/>
  <c r="AL59" i="1"/>
  <c r="AO59" i="1"/>
  <c r="F81" i="15"/>
  <c r="F90" i="15"/>
  <c r="F106" i="15"/>
  <c r="F145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52" i="15"/>
  <c r="F82" i="15"/>
  <c r="F83" i="15"/>
  <c r="F84" i="15"/>
  <c r="F85" i="15"/>
  <c r="F86" i="15"/>
  <c r="F87" i="15"/>
  <c r="F88" i="15"/>
  <c r="F89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52" i="15"/>
  <c r="AL95" i="1"/>
  <c r="AO118" i="1"/>
  <c r="AL119" i="1"/>
  <c r="Z5" i="16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K115" i="1"/>
  <c r="L115" i="1" s="1"/>
  <c r="K116" i="1"/>
  <c r="L116" i="1" s="1"/>
  <c r="K117" i="1"/>
  <c r="L117" i="1" s="1"/>
  <c r="K118" i="1"/>
  <c r="L118" i="1" s="1"/>
  <c r="K119" i="1"/>
  <c r="L119" i="1" s="1"/>
  <c r="K120" i="1"/>
  <c r="L120" i="1" s="1"/>
  <c r="K121" i="1"/>
  <c r="L121" i="1" s="1"/>
  <c r="K122" i="1"/>
  <c r="L122" i="1" s="1"/>
  <c r="K123" i="1"/>
  <c r="L123" i="1" s="1"/>
  <c r="K124" i="1"/>
  <c r="L124" i="1" s="1"/>
  <c r="K125" i="1"/>
  <c r="L125" i="1" s="1"/>
  <c r="K126" i="1"/>
  <c r="L126" i="1" s="1"/>
  <c r="K127" i="1"/>
  <c r="L127" i="1" s="1"/>
  <c r="K128" i="1"/>
  <c r="L128" i="1" s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X115" i="1" a="1"/>
  <c r="X115" i="1" s="1"/>
  <c r="X116" i="1" a="1"/>
  <c r="X116" i="1" s="1"/>
  <c r="X117" i="1" a="1"/>
  <c r="X117" i="1" s="1"/>
  <c r="X118" i="1" a="1"/>
  <c r="X118" i="1" s="1"/>
  <c r="X119" i="1" a="1"/>
  <c r="X119" i="1" s="1"/>
  <c r="X120" i="1" a="1"/>
  <c r="X120" i="1" s="1"/>
  <c r="X121" i="1" a="1"/>
  <c r="X121" i="1" s="1"/>
  <c r="X122" i="1" a="1"/>
  <c r="X122" i="1" s="1"/>
  <c r="X123" i="1" a="1"/>
  <c r="X123" i="1" s="1"/>
  <c r="X124" i="1" a="1"/>
  <c r="X124" i="1" s="1"/>
  <c r="X125" i="1" a="1"/>
  <c r="X125" i="1" s="1"/>
  <c r="X126" i="1" a="1"/>
  <c r="X126" i="1" s="1"/>
  <c r="X127" i="1" a="1"/>
  <c r="X127" i="1" s="1"/>
  <c r="X128" i="1" a="1"/>
  <c r="X128" i="1" s="1"/>
  <c r="AL102" i="1"/>
  <c r="L2" i="16"/>
  <c r="L3" i="16"/>
  <c r="L4" i="16"/>
  <c r="L5" i="16"/>
  <c r="L6" i="16"/>
  <c r="L7" i="16"/>
  <c r="L8" i="16"/>
  <c r="L9" i="16"/>
  <c r="L10" i="16"/>
  <c r="L11" i="16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S2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R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Q2" i="7"/>
  <c r="S2" i="3"/>
  <c r="S4" i="3"/>
  <c r="S5" i="3"/>
  <c r="S6" i="3"/>
  <c r="S9" i="3"/>
  <c r="S10" i="3"/>
  <c r="S7" i="3"/>
  <c r="S8" i="3"/>
  <c r="S11" i="3"/>
  <c r="S12" i="3"/>
  <c r="S14" i="3"/>
  <c r="S15" i="3"/>
  <c r="S18" i="3"/>
  <c r="S19" i="3"/>
  <c r="S20" i="3"/>
  <c r="S21" i="3"/>
  <c r="S22" i="3"/>
  <c r="S23" i="3"/>
  <c r="S25" i="3"/>
  <c r="S26" i="3"/>
  <c r="S27" i="3"/>
  <c r="S28" i="3"/>
  <c r="S29" i="3"/>
  <c r="S30" i="3"/>
  <c r="S31" i="3"/>
  <c r="S32" i="3"/>
  <c r="S33" i="3"/>
  <c r="S34" i="3"/>
  <c r="S36" i="3"/>
  <c r="S35" i="3"/>
  <c r="S37" i="3"/>
  <c r="S38" i="3"/>
  <c r="S39" i="3"/>
  <c r="S40" i="3"/>
  <c r="S41" i="3"/>
  <c r="S42" i="3"/>
  <c r="S43" i="3"/>
  <c r="S44" i="3"/>
  <c r="S45" i="3"/>
  <c r="F3" i="16"/>
  <c r="M7" i="16" s="1"/>
  <c r="F4" i="16"/>
  <c r="M8" i="16" s="1"/>
  <c r="F5" i="16"/>
  <c r="M14" i="16" s="1"/>
  <c r="F6" i="16"/>
  <c r="M21" i="16" s="1"/>
  <c r="F7" i="16"/>
  <c r="M9" i="16" s="1"/>
  <c r="F8" i="16"/>
  <c r="M22" i="16" s="1"/>
  <c r="F9" i="16"/>
  <c r="M4" i="16" s="1"/>
  <c r="F10" i="16"/>
  <c r="M13" i="16" s="1"/>
  <c r="F11" i="16"/>
  <c r="M23" i="16" s="1"/>
  <c r="F12" i="16"/>
  <c r="M6" i="16" s="1"/>
  <c r="F13" i="16"/>
  <c r="M18" i="16" s="1"/>
  <c r="F14" i="16"/>
  <c r="M20" i="16" s="1"/>
  <c r="F15" i="16"/>
  <c r="M11" i="16" s="1"/>
  <c r="F16" i="16"/>
  <c r="M5" i="16" s="1"/>
  <c r="F17" i="16"/>
  <c r="M24" i="16" s="1"/>
  <c r="F18" i="16"/>
  <c r="M25" i="16" s="1"/>
  <c r="F19" i="16"/>
  <c r="M10" i="16" s="1"/>
  <c r="F20" i="16"/>
  <c r="M2" i="16" s="1"/>
  <c r="F21" i="16"/>
  <c r="M3" i="16" s="1"/>
  <c r="F22" i="16"/>
  <c r="M26" i="16" s="1"/>
  <c r="F23" i="16"/>
  <c r="M17" i="16" s="1"/>
  <c r="F24" i="16"/>
  <c r="M27" i="16" s="1"/>
  <c r="F25" i="16"/>
  <c r="M12" i="16" s="1"/>
  <c r="F26" i="16"/>
  <c r="M16" i="16" s="1"/>
  <c r="F27" i="16"/>
  <c r="M15" i="16" s="1"/>
  <c r="F28" i="16"/>
  <c r="M28" i="16" s="1"/>
  <c r="F2" i="16"/>
  <c r="M19" i="16" s="1"/>
  <c r="A95" i="1"/>
  <c r="A96" i="1"/>
  <c r="A97" i="1"/>
  <c r="A98" i="1"/>
  <c r="A99" i="1"/>
  <c r="A100" i="1"/>
  <c r="A101" i="1"/>
  <c r="A102" i="1"/>
  <c r="K95" i="1"/>
  <c r="L95" i="1" s="1"/>
  <c r="K96" i="1"/>
  <c r="L96" i="1" s="1"/>
  <c r="K97" i="1"/>
  <c r="L97" i="1" s="1"/>
  <c r="K98" i="1"/>
  <c r="L98" i="1" s="1"/>
  <c r="K99" i="1"/>
  <c r="L99" i="1" s="1"/>
  <c r="K100" i="1"/>
  <c r="L100" i="1" s="1"/>
  <c r="K101" i="1"/>
  <c r="L101" i="1" s="1"/>
  <c r="K102" i="1"/>
  <c r="L102" i="1" s="1"/>
  <c r="P95" i="1"/>
  <c r="P96" i="1"/>
  <c r="P97" i="1"/>
  <c r="P98" i="1"/>
  <c r="P99" i="1"/>
  <c r="P100" i="1"/>
  <c r="P101" i="1"/>
  <c r="P102" i="1"/>
  <c r="X95" i="1" a="1"/>
  <c r="X95" i="1" s="1"/>
  <c r="X96" i="1" a="1"/>
  <c r="X96" i="1" s="1"/>
  <c r="X97" i="1" a="1"/>
  <c r="X97" i="1" s="1"/>
  <c r="X98" i="1" a="1"/>
  <c r="X98" i="1" s="1"/>
  <c r="X99" i="1" a="1"/>
  <c r="X99" i="1" s="1"/>
  <c r="X100" i="1" a="1"/>
  <c r="X100" i="1" s="1"/>
  <c r="X101" i="1" a="1"/>
  <c r="X101" i="1" s="1"/>
  <c r="X102" i="1" a="1"/>
  <c r="X102" i="1" s="1"/>
  <c r="F29" i="15"/>
  <c r="Z29" i="15"/>
  <c r="S31" i="15"/>
  <c r="T31" i="15"/>
  <c r="R31" i="15"/>
  <c r="S30" i="15"/>
  <c r="T30" i="15"/>
  <c r="R30" i="15"/>
  <c r="S25" i="15"/>
  <c r="T25" i="15"/>
  <c r="S26" i="15"/>
  <c r="T26" i="15"/>
  <c r="R26" i="15"/>
  <c r="R25" i="15"/>
  <c r="AR139" i="1" l="1"/>
  <c r="AR135" i="1"/>
  <c r="AR138" i="1"/>
  <c r="AR136" i="1"/>
  <c r="AR137" i="1"/>
  <c r="AR142" i="1"/>
  <c r="AR134" i="1"/>
  <c r="AR140" i="1"/>
  <c r="AR141" i="1"/>
  <c r="AL130" i="1"/>
  <c r="AL129" i="1"/>
  <c r="AO105" i="1"/>
  <c r="AL104" i="1"/>
  <c r="AO113" i="1"/>
  <c r="AL103" i="1"/>
  <c r="AO104" i="1"/>
  <c r="AO103" i="1"/>
  <c r="AO112" i="1"/>
  <c r="AL112" i="1"/>
  <c r="AO111" i="1"/>
  <c r="AO110" i="1"/>
  <c r="AL110" i="1"/>
  <c r="AO109" i="1"/>
  <c r="AL109" i="1"/>
  <c r="AL60" i="1"/>
  <c r="AO108" i="1"/>
  <c r="AL108" i="1"/>
  <c r="AO128" i="1"/>
  <c r="AL118" i="1"/>
  <c r="AO127" i="1"/>
  <c r="AO116" i="1"/>
  <c r="AO115" i="1"/>
  <c r="AL128" i="1"/>
  <c r="AL117" i="1"/>
  <c r="AL96" i="1"/>
  <c r="AO119" i="1"/>
  <c r="AL121" i="1"/>
  <c r="AO123" i="1"/>
  <c r="AO126" i="1"/>
  <c r="AO125" i="1"/>
  <c r="AO124" i="1"/>
  <c r="AO120" i="1"/>
  <c r="AL122" i="1"/>
  <c r="AL126" i="1"/>
  <c r="AL125" i="1"/>
  <c r="AO98" i="1"/>
  <c r="AL97" i="1"/>
  <c r="AO102" i="1"/>
  <c r="AO101" i="1"/>
  <c r="AO100" i="1"/>
  <c r="AL98" i="1"/>
  <c r="AO99" i="1"/>
  <c r="AO95" i="1"/>
  <c r="F29" i="16"/>
  <c r="S32" i="15"/>
  <c r="S33" i="15" s="1"/>
  <c r="R32" i="15"/>
  <c r="R33" i="15" s="1"/>
  <c r="T27" i="15"/>
  <c r="T32" i="15"/>
  <c r="T34" i="15" s="1"/>
  <c r="R27" i="15"/>
  <c r="Z30" i="15" s="1"/>
  <c r="S27" i="15"/>
  <c r="T33" i="15"/>
  <c r="T35" i="15" s="1"/>
  <c r="G27" i="15"/>
  <c r="F25" i="15"/>
  <c r="F24" i="15"/>
  <c r="F26" i="15" s="1"/>
  <c r="G30" i="15"/>
  <c r="G29" i="15"/>
  <c r="F32" i="15"/>
  <c r="E29" i="15"/>
  <c r="E32" i="15" s="1"/>
  <c r="G26" i="15"/>
  <c r="E26" i="15"/>
  <c r="G8" i="15"/>
  <c r="G9" i="15"/>
  <c r="F8" i="15"/>
  <c r="F9" i="15"/>
  <c r="E8" i="15"/>
  <c r="E10" i="15" s="1"/>
  <c r="G15" i="15"/>
  <c r="F15" i="15"/>
  <c r="G14" i="15"/>
  <c r="F14" i="15"/>
  <c r="E14" i="15"/>
  <c r="E16" i="15" s="1"/>
  <c r="G16" i="15" l="1"/>
  <c r="S34" i="15"/>
  <c r="S35" i="15" s="1"/>
  <c r="R34" i="15"/>
  <c r="R35" i="15" s="1"/>
  <c r="F10" i="15"/>
  <c r="G10" i="15"/>
  <c r="F16" i="15"/>
  <c r="G32" i="15"/>
  <c r="A49" i="1"/>
  <c r="A50" i="1"/>
  <c r="A51" i="1"/>
  <c r="A52" i="1"/>
  <c r="A53" i="1"/>
  <c r="A54" i="1"/>
  <c r="A55" i="1"/>
  <c r="A56" i="1"/>
  <c r="A57" i="1"/>
  <c r="A58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69" i="1"/>
  <c r="L69" i="1" s="1"/>
  <c r="K70" i="1"/>
  <c r="L70" i="1" s="1"/>
  <c r="K71" i="1"/>
  <c r="L71" i="1" s="1"/>
  <c r="K72" i="1"/>
  <c r="L72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6" i="1"/>
  <c r="L86" i="1" s="1"/>
  <c r="K87" i="1"/>
  <c r="L87" i="1" s="1"/>
  <c r="K88" i="1"/>
  <c r="L88" i="1" s="1"/>
  <c r="K89" i="1"/>
  <c r="L89" i="1" s="1"/>
  <c r="K90" i="1"/>
  <c r="L90" i="1" s="1"/>
  <c r="K91" i="1"/>
  <c r="L91" i="1" s="1"/>
  <c r="K92" i="1"/>
  <c r="L92" i="1" s="1"/>
  <c r="K93" i="1"/>
  <c r="L93" i="1" s="1"/>
  <c r="K94" i="1"/>
  <c r="L94" i="1" s="1"/>
  <c r="P49" i="1"/>
  <c r="P50" i="1"/>
  <c r="P51" i="1"/>
  <c r="P52" i="1"/>
  <c r="P53" i="1"/>
  <c r="P54" i="1"/>
  <c r="P55" i="1"/>
  <c r="P56" i="1"/>
  <c r="P57" i="1"/>
  <c r="P58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X49" i="1" a="1"/>
  <c r="X49" i="1" s="1"/>
  <c r="X50" i="1" a="1"/>
  <c r="X50" i="1" s="1"/>
  <c r="X51" i="1" a="1"/>
  <c r="X51" i="1" s="1"/>
  <c r="X52" i="1" a="1"/>
  <c r="X52" i="1" s="1"/>
  <c r="X53" i="1" a="1"/>
  <c r="X53" i="1" s="1"/>
  <c r="X54" i="1" a="1"/>
  <c r="X54" i="1" s="1"/>
  <c r="X55" i="1" a="1"/>
  <c r="X55" i="1" s="1"/>
  <c r="X56" i="1" a="1"/>
  <c r="X56" i="1" s="1"/>
  <c r="X57" i="1" a="1"/>
  <c r="X57" i="1" s="1"/>
  <c r="X58" i="1" a="1"/>
  <c r="X58" i="1" s="1"/>
  <c r="X61" i="1" a="1"/>
  <c r="X61" i="1" s="1"/>
  <c r="X62" i="1" a="1"/>
  <c r="X62" i="1" s="1"/>
  <c r="X63" i="1" a="1"/>
  <c r="X63" i="1" s="1"/>
  <c r="X64" i="1" a="1"/>
  <c r="X64" i="1" s="1"/>
  <c r="X65" i="1" a="1"/>
  <c r="X65" i="1" s="1"/>
  <c r="X66" i="1" a="1"/>
  <c r="X66" i="1" s="1"/>
  <c r="X67" i="1" a="1"/>
  <c r="X67" i="1" s="1"/>
  <c r="X68" i="1" a="1"/>
  <c r="X68" i="1" s="1"/>
  <c r="X69" i="1" a="1"/>
  <c r="X69" i="1" s="1"/>
  <c r="X70" i="1" a="1"/>
  <c r="X70" i="1" s="1"/>
  <c r="X71" i="1" a="1"/>
  <c r="X71" i="1" s="1"/>
  <c r="X72" i="1" a="1"/>
  <c r="X72" i="1" s="1"/>
  <c r="X73" i="1" a="1"/>
  <c r="X73" i="1" s="1"/>
  <c r="X74" i="1" a="1"/>
  <c r="X74" i="1" s="1"/>
  <c r="X75" i="1" a="1"/>
  <c r="X75" i="1" s="1"/>
  <c r="X76" i="1" a="1"/>
  <c r="X76" i="1" s="1"/>
  <c r="X77" i="1" a="1"/>
  <c r="X77" i="1" s="1"/>
  <c r="X78" i="1" a="1"/>
  <c r="X78" i="1" s="1"/>
  <c r="X79" i="1" a="1"/>
  <c r="X79" i="1" s="1"/>
  <c r="X80" i="1" a="1"/>
  <c r="X80" i="1" s="1"/>
  <c r="X81" i="1" a="1"/>
  <c r="X81" i="1" s="1"/>
  <c r="X82" i="1" a="1"/>
  <c r="X82" i="1" s="1"/>
  <c r="X83" i="1" a="1"/>
  <c r="X83" i="1" s="1"/>
  <c r="X84" i="1" a="1"/>
  <c r="X84" i="1" s="1"/>
  <c r="X85" i="1" a="1"/>
  <c r="X85" i="1" s="1"/>
  <c r="X86" i="1" a="1"/>
  <c r="X86" i="1" s="1"/>
  <c r="X87" i="1" a="1"/>
  <c r="X87" i="1" s="1"/>
  <c r="X88" i="1" a="1"/>
  <c r="X88" i="1" s="1"/>
  <c r="X89" i="1" a="1"/>
  <c r="X89" i="1" s="1"/>
  <c r="X90" i="1" a="1"/>
  <c r="X90" i="1" s="1"/>
  <c r="X91" i="1" a="1"/>
  <c r="X91" i="1" s="1"/>
  <c r="X92" i="1" a="1"/>
  <c r="X92" i="1" s="1"/>
  <c r="X93" i="1" a="1"/>
  <c r="X93" i="1" s="1"/>
  <c r="X94" i="1" a="1"/>
  <c r="X94" i="1" s="1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O38" i="7" a="1"/>
  <c r="O38" i="7" s="1"/>
  <c r="O39" i="7" a="1"/>
  <c r="O39" i="7" s="1"/>
  <c r="O40" i="7" a="1"/>
  <c r="O40" i="7" s="1"/>
  <c r="O41" i="7" a="1"/>
  <c r="O41" i="7" s="1"/>
  <c r="O42" i="7" a="1"/>
  <c r="O42" i="7" s="1"/>
  <c r="O43" i="7" a="1"/>
  <c r="O43" i="7" s="1"/>
  <c r="O44" i="7" a="1"/>
  <c r="O44" i="7" s="1"/>
  <c r="O45" i="7" a="1"/>
  <c r="O45" i="7" s="1"/>
  <c r="O46" i="7" a="1"/>
  <c r="O46" i="7" s="1"/>
  <c r="O47" i="7" a="1"/>
  <c r="O47" i="7" s="1"/>
  <c r="O48" i="7" a="1"/>
  <c r="O48" i="7" s="1"/>
  <c r="O49" i="7" a="1"/>
  <c r="O49" i="7" s="1"/>
  <c r="O50" i="7" a="1"/>
  <c r="O50" i="7" s="1"/>
  <c r="O51" i="7" a="1"/>
  <c r="O51" i="7" s="1"/>
  <c r="O52" i="7" a="1"/>
  <c r="O52" i="7" s="1"/>
  <c r="O53" i="7" a="1"/>
  <c r="O53" i="7" s="1"/>
  <c r="O54" i="7" a="1"/>
  <c r="O54" i="7" s="1"/>
  <c r="O55" i="7" a="1"/>
  <c r="O55" i="7" s="1"/>
  <c r="O56" i="7" a="1"/>
  <c r="O56" i="7" s="1"/>
  <c r="O57" i="7" a="1"/>
  <c r="O57" i="7" s="1"/>
  <c r="O58" i="7" a="1"/>
  <c r="O58" i="7" s="1"/>
  <c r="O59" i="7" a="1"/>
  <c r="O59" i="7" s="1"/>
  <c r="O60" i="7" a="1"/>
  <c r="O60" i="7" s="1"/>
  <c r="O61" i="7" a="1"/>
  <c r="O61" i="7" s="1"/>
  <c r="O62" i="7" a="1"/>
  <c r="O62" i="7" s="1"/>
  <c r="O63" i="7" a="1"/>
  <c r="O63" i="7" s="1"/>
  <c r="O64" i="7" a="1"/>
  <c r="O64" i="7" s="1"/>
  <c r="O65" i="7" a="1"/>
  <c r="O65" i="7" s="1"/>
  <c r="O66" i="7" a="1"/>
  <c r="O66" i="7" s="1"/>
  <c r="O67" i="7" a="1"/>
  <c r="O67" i="7" s="1"/>
  <c r="O68" i="7" a="1"/>
  <c r="O68" i="7" s="1"/>
  <c r="O69" i="7" a="1"/>
  <c r="O69" i="7" s="1"/>
  <c r="O70" i="7" a="1"/>
  <c r="O70" i="7" s="1"/>
  <c r="O71" i="7" a="1"/>
  <c r="O71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P36" i="3" l="1"/>
  <c r="Q36" i="3"/>
  <c r="R36" i="3"/>
  <c r="A2" i="1"/>
  <c r="K2" i="1"/>
  <c r="L2" i="1" s="1"/>
  <c r="P2" i="1"/>
  <c r="X2" i="1" a="1"/>
  <c r="X2" i="1" s="1"/>
  <c r="A3" i="1"/>
  <c r="K3" i="1"/>
  <c r="L3" i="1" s="1"/>
  <c r="P3" i="1"/>
  <c r="X3" i="1" a="1"/>
  <c r="X3" i="1" s="1"/>
  <c r="A4" i="1"/>
  <c r="K4" i="1"/>
  <c r="L4" i="1" s="1"/>
  <c r="P4" i="1"/>
  <c r="X4" i="1" a="1"/>
  <c r="X4" i="1" s="1"/>
  <c r="A5" i="1"/>
  <c r="K5" i="1"/>
  <c r="L5" i="1" s="1"/>
  <c r="P5" i="1"/>
  <c r="X5" i="1" a="1"/>
  <c r="X5" i="1" s="1"/>
  <c r="A6" i="1"/>
  <c r="K6" i="1"/>
  <c r="L6" i="1" s="1"/>
  <c r="P6" i="1"/>
  <c r="X6" i="1" a="1"/>
  <c r="X6" i="1" s="1"/>
  <c r="A7" i="1"/>
  <c r="K7" i="1"/>
  <c r="L7" i="1" s="1"/>
  <c r="P7" i="1"/>
  <c r="X7" i="1" a="1"/>
  <c r="X7" i="1" s="1"/>
  <c r="A8" i="1"/>
  <c r="K8" i="1"/>
  <c r="L8" i="1" s="1"/>
  <c r="P8" i="1"/>
  <c r="X8" i="1" a="1"/>
  <c r="X8" i="1" s="1"/>
  <c r="A9" i="1"/>
  <c r="K9" i="1"/>
  <c r="L9" i="1" s="1"/>
  <c r="P9" i="1"/>
  <c r="X9" i="1" a="1"/>
  <c r="X9" i="1" s="1"/>
  <c r="A10" i="1"/>
  <c r="K10" i="1"/>
  <c r="L10" i="1" s="1"/>
  <c r="P10" i="1"/>
  <c r="X10" i="1" a="1"/>
  <c r="X10" i="1" s="1"/>
  <c r="A11" i="1"/>
  <c r="K11" i="1"/>
  <c r="L11" i="1" s="1"/>
  <c r="P11" i="1"/>
  <c r="X11" i="1" a="1"/>
  <c r="X11" i="1" s="1"/>
  <c r="A12" i="1"/>
  <c r="K12" i="1"/>
  <c r="L12" i="1" s="1"/>
  <c r="P12" i="1"/>
  <c r="X12" i="1" a="1"/>
  <c r="X12" i="1" s="1"/>
  <c r="A13" i="1"/>
  <c r="K13" i="1"/>
  <c r="L13" i="1" s="1"/>
  <c r="P13" i="1"/>
  <c r="X13" i="1" a="1"/>
  <c r="X13" i="1" s="1"/>
  <c r="A14" i="1"/>
  <c r="K14" i="1"/>
  <c r="L14" i="1" s="1"/>
  <c r="P14" i="1"/>
  <c r="X14" i="1" a="1"/>
  <c r="X14" i="1" s="1"/>
  <c r="A15" i="1"/>
  <c r="K15" i="1"/>
  <c r="L15" i="1" s="1"/>
  <c r="P15" i="1"/>
  <c r="X15" i="1" a="1"/>
  <c r="X15" i="1" s="1"/>
  <c r="A16" i="1"/>
  <c r="K16" i="1"/>
  <c r="L16" i="1" s="1"/>
  <c r="P16" i="1"/>
  <c r="X16" i="1" a="1"/>
  <c r="X16" i="1" s="1"/>
  <c r="A17" i="1"/>
  <c r="K17" i="1"/>
  <c r="L17" i="1" s="1"/>
  <c r="P17" i="1"/>
  <c r="X17" i="1" a="1"/>
  <c r="X17" i="1" s="1"/>
  <c r="A18" i="1"/>
  <c r="K18" i="1"/>
  <c r="L18" i="1" s="1"/>
  <c r="P18" i="1"/>
  <c r="X18" i="1" a="1"/>
  <c r="X18" i="1" s="1"/>
  <c r="A19" i="1"/>
  <c r="K19" i="1"/>
  <c r="L19" i="1" s="1"/>
  <c r="P19" i="1"/>
  <c r="X19" i="1" a="1"/>
  <c r="X19" i="1" s="1"/>
  <c r="A20" i="1"/>
  <c r="K20" i="1"/>
  <c r="L20" i="1" s="1"/>
  <c r="P20" i="1"/>
  <c r="X20" i="1" a="1"/>
  <c r="X20" i="1" s="1"/>
  <c r="A21" i="1"/>
  <c r="K21" i="1"/>
  <c r="L21" i="1" s="1"/>
  <c r="P21" i="1"/>
  <c r="X21" i="1" a="1"/>
  <c r="X21" i="1" s="1"/>
  <c r="A22" i="1"/>
  <c r="K22" i="1"/>
  <c r="L22" i="1" s="1"/>
  <c r="P22" i="1"/>
  <c r="X22" i="1" a="1"/>
  <c r="X22" i="1" s="1"/>
  <c r="A23" i="1"/>
  <c r="K23" i="1"/>
  <c r="L23" i="1" s="1"/>
  <c r="P23" i="1"/>
  <c r="X23" i="1" a="1"/>
  <c r="X23" i="1" s="1"/>
  <c r="A24" i="1"/>
  <c r="K24" i="1"/>
  <c r="L24" i="1" s="1"/>
  <c r="P24" i="1"/>
  <c r="X24" i="1" a="1"/>
  <c r="X24" i="1" s="1"/>
  <c r="A25" i="1"/>
  <c r="K25" i="1"/>
  <c r="L25" i="1" s="1"/>
  <c r="P25" i="1"/>
  <c r="X25" i="1" a="1"/>
  <c r="X25" i="1" s="1"/>
  <c r="A26" i="1"/>
  <c r="K26" i="1"/>
  <c r="L26" i="1" s="1"/>
  <c r="P26" i="1"/>
  <c r="X26" i="1" a="1"/>
  <c r="X26" i="1" s="1"/>
  <c r="A27" i="1"/>
  <c r="K27" i="1"/>
  <c r="L27" i="1" s="1"/>
  <c r="P27" i="1"/>
  <c r="X27" i="1" a="1"/>
  <c r="X27" i="1" s="1"/>
  <c r="A28" i="1"/>
  <c r="K28" i="1"/>
  <c r="L28" i="1" s="1"/>
  <c r="P28" i="1"/>
  <c r="X28" i="1" a="1"/>
  <c r="X28" i="1" s="1"/>
  <c r="A29" i="1"/>
  <c r="K29" i="1"/>
  <c r="L29" i="1" s="1"/>
  <c r="P29" i="1"/>
  <c r="X29" i="1" a="1"/>
  <c r="X29" i="1" s="1"/>
  <c r="A30" i="1"/>
  <c r="K30" i="1"/>
  <c r="L30" i="1" s="1"/>
  <c r="P30" i="1"/>
  <c r="X30" i="1" a="1"/>
  <c r="X30" i="1" s="1"/>
  <c r="A31" i="1"/>
  <c r="K31" i="1"/>
  <c r="L31" i="1" s="1"/>
  <c r="P31" i="1"/>
  <c r="X31" i="1" a="1"/>
  <c r="X31" i="1" s="1"/>
  <c r="A32" i="1"/>
  <c r="K32" i="1"/>
  <c r="L32" i="1" s="1"/>
  <c r="P32" i="1"/>
  <c r="X32" i="1" a="1"/>
  <c r="X32" i="1" s="1"/>
  <c r="A33" i="1"/>
  <c r="K33" i="1"/>
  <c r="L33" i="1" s="1"/>
  <c r="P33" i="1"/>
  <c r="X33" i="1" a="1"/>
  <c r="X33" i="1" s="1"/>
  <c r="A34" i="1"/>
  <c r="K34" i="1"/>
  <c r="L34" i="1" s="1"/>
  <c r="P34" i="1"/>
  <c r="X34" i="1" a="1"/>
  <c r="X34" i="1" s="1"/>
  <c r="A35" i="1"/>
  <c r="K35" i="1"/>
  <c r="L35" i="1" s="1"/>
  <c r="P35" i="1"/>
  <c r="X35" i="1" a="1"/>
  <c r="X35" i="1" s="1"/>
  <c r="A36" i="1"/>
  <c r="K36" i="1"/>
  <c r="L36" i="1" s="1"/>
  <c r="P36" i="1"/>
  <c r="X36" i="1" a="1"/>
  <c r="X36" i="1" s="1"/>
  <c r="A37" i="1"/>
  <c r="K37" i="1"/>
  <c r="L37" i="1" s="1"/>
  <c r="P37" i="1"/>
  <c r="X37" i="1" a="1"/>
  <c r="X37" i="1" s="1"/>
  <c r="A38" i="1"/>
  <c r="K38" i="1"/>
  <c r="L38" i="1" s="1"/>
  <c r="P38" i="1"/>
  <c r="X38" i="1" a="1"/>
  <c r="X38" i="1" s="1"/>
  <c r="A39" i="1"/>
  <c r="K39" i="1"/>
  <c r="L39" i="1" s="1"/>
  <c r="P39" i="1"/>
  <c r="X39" i="1" a="1"/>
  <c r="X39" i="1" s="1"/>
  <c r="A40" i="1"/>
  <c r="K40" i="1"/>
  <c r="L40" i="1" s="1"/>
  <c r="P40" i="1"/>
  <c r="X40" i="1" a="1"/>
  <c r="X40" i="1" s="1"/>
  <c r="A41" i="1"/>
  <c r="K41" i="1"/>
  <c r="L41" i="1" s="1"/>
  <c r="P41" i="1"/>
  <c r="X41" i="1" a="1"/>
  <c r="X41" i="1" s="1"/>
  <c r="A42" i="1"/>
  <c r="K42" i="1"/>
  <c r="L42" i="1" s="1"/>
  <c r="P42" i="1"/>
  <c r="X42" i="1" a="1"/>
  <c r="X42" i="1" s="1"/>
  <c r="A43" i="1"/>
  <c r="C43" i="1" s="1"/>
  <c r="K43" i="1"/>
  <c r="L43" i="1" s="1"/>
  <c r="P43" i="1"/>
  <c r="X43" i="1" a="1"/>
  <c r="X43" i="1" s="1"/>
  <c r="A44" i="1"/>
  <c r="K44" i="1"/>
  <c r="L44" i="1" s="1"/>
  <c r="P44" i="1"/>
  <c r="X44" i="1" a="1"/>
  <c r="X44" i="1" s="1"/>
  <c r="A45" i="1"/>
  <c r="K45" i="1"/>
  <c r="L45" i="1" s="1"/>
  <c r="P45" i="1"/>
  <c r="X45" i="1" a="1"/>
  <c r="X45" i="1" s="1"/>
  <c r="A46" i="1"/>
  <c r="K46" i="1"/>
  <c r="L46" i="1" s="1"/>
  <c r="P46" i="1"/>
  <c r="X46" i="1" a="1"/>
  <c r="X46" i="1" s="1"/>
  <c r="A47" i="1"/>
  <c r="K47" i="1"/>
  <c r="L47" i="1" s="1"/>
  <c r="P47" i="1"/>
  <c r="X47" i="1" a="1"/>
  <c r="X47" i="1" s="1"/>
  <c r="A48" i="1"/>
  <c r="K48" i="1"/>
  <c r="L48" i="1" s="1"/>
  <c r="P48" i="1"/>
  <c r="X48" i="1" a="1"/>
  <c r="X48" i="1" s="1"/>
  <c r="Q3" i="7"/>
  <c r="Q4" i="7"/>
  <c r="Q5" i="7"/>
  <c r="Q10" i="7"/>
  <c r="Q6" i="7"/>
  <c r="Q7" i="7"/>
  <c r="Q8" i="7"/>
  <c r="Q9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9" i="7"/>
  <c r="Q24" i="7"/>
  <c r="Q25" i="7"/>
  <c r="Q26" i="7"/>
  <c r="Q27" i="7"/>
  <c r="Q28" i="7"/>
  <c r="Q30" i="7"/>
  <c r="Q31" i="7"/>
  <c r="Q32" i="7"/>
  <c r="Q37" i="7"/>
  <c r="Q33" i="7"/>
  <c r="Q34" i="7"/>
  <c r="Q35" i="7"/>
  <c r="Q36" i="7"/>
  <c r="M2" i="7"/>
  <c r="N2" i="7"/>
  <c r="O2" i="7" a="1"/>
  <c r="O2" i="7" s="1"/>
  <c r="P2" i="7"/>
  <c r="M3" i="7"/>
  <c r="N3" i="7"/>
  <c r="S27" i="1" s="1"/>
  <c r="U27" i="1" s="1"/>
  <c r="O3" i="7" a="1"/>
  <c r="O3" i="7" s="1"/>
  <c r="P3" i="7"/>
  <c r="M4" i="7"/>
  <c r="N4" i="7"/>
  <c r="O4" i="7" a="1"/>
  <c r="O4" i="7" s="1"/>
  <c r="P4" i="7"/>
  <c r="M5" i="7"/>
  <c r="N5" i="7"/>
  <c r="S22" i="1" s="1"/>
  <c r="U22" i="1" s="1"/>
  <c r="O5" i="7" a="1"/>
  <c r="O5" i="7" s="1"/>
  <c r="P5" i="7"/>
  <c r="M10" i="7"/>
  <c r="N10" i="7"/>
  <c r="O10" i="7" a="1"/>
  <c r="O10" i="7" s="1"/>
  <c r="P10" i="7"/>
  <c r="M6" i="7"/>
  <c r="N6" i="7"/>
  <c r="O6" i="7" a="1"/>
  <c r="O6" i="7" s="1"/>
  <c r="P6" i="7"/>
  <c r="C107" i="1" l="1"/>
  <c r="C108" i="1"/>
  <c r="C109" i="1"/>
  <c r="C110" i="1"/>
  <c r="C111" i="1"/>
  <c r="C113" i="1"/>
  <c r="C114" i="1"/>
  <c r="C112" i="1"/>
  <c r="C103" i="1"/>
  <c r="AD104" i="1"/>
  <c r="C106" i="1"/>
  <c r="C104" i="1"/>
  <c r="AE106" i="1"/>
  <c r="C105" i="1"/>
  <c r="N106" i="1"/>
  <c r="N114" i="1"/>
  <c r="O110" i="1"/>
  <c r="AE130" i="1"/>
  <c r="AE104" i="1"/>
  <c r="AE116" i="1"/>
  <c r="O130" i="1"/>
  <c r="O103" i="1"/>
  <c r="AE60" i="1"/>
  <c r="C127" i="1"/>
  <c r="AE123" i="1"/>
  <c r="AD124" i="1"/>
  <c r="C122" i="1"/>
  <c r="C119" i="1"/>
  <c r="C121" i="1"/>
  <c r="AE121" i="1"/>
  <c r="AD116" i="1"/>
  <c r="C123" i="1"/>
  <c r="AD127" i="1"/>
  <c r="O131" i="1"/>
  <c r="AD126" i="1"/>
  <c r="N131" i="1"/>
  <c r="O104" i="1"/>
  <c r="N119" i="1"/>
  <c r="N122" i="1"/>
  <c r="N130" i="1"/>
  <c r="C126" i="1"/>
  <c r="AD130" i="1"/>
  <c r="AD128" i="1"/>
  <c r="AE113" i="1"/>
  <c r="AD114" i="1"/>
  <c r="AE59" i="1"/>
  <c r="O60" i="1"/>
  <c r="AD121" i="1"/>
  <c r="AD123" i="1"/>
  <c r="O125" i="1"/>
  <c r="N126" i="1"/>
  <c r="O107" i="1"/>
  <c r="AE103" i="1"/>
  <c r="AD103" i="1"/>
  <c r="N112" i="1"/>
  <c r="AE127" i="1"/>
  <c r="AE131" i="1"/>
  <c r="N105" i="1"/>
  <c r="N113" i="1"/>
  <c r="O109" i="1"/>
  <c r="AD117" i="1"/>
  <c r="AD105" i="1"/>
  <c r="AD113" i="1"/>
  <c r="O114" i="1"/>
  <c r="O59" i="1"/>
  <c r="AE122" i="1"/>
  <c r="O116" i="1"/>
  <c r="AE120" i="1"/>
  <c r="AD120" i="1"/>
  <c r="N59" i="1"/>
  <c r="N117" i="1"/>
  <c r="N110" i="1"/>
  <c r="C115" i="1"/>
  <c r="O105" i="1"/>
  <c r="AD107" i="1"/>
  <c r="O126" i="1"/>
  <c r="N123" i="1"/>
  <c r="C129" i="1"/>
  <c r="C125" i="1"/>
  <c r="AD111" i="1"/>
  <c r="AE129" i="1"/>
  <c r="AE114" i="1"/>
  <c r="O113" i="1"/>
  <c r="AD60" i="1"/>
  <c r="C118" i="1"/>
  <c r="AD129" i="1"/>
  <c r="AD125" i="1"/>
  <c r="N127" i="1"/>
  <c r="O124" i="1"/>
  <c r="AE128" i="1"/>
  <c r="AE125" i="1"/>
  <c r="N121" i="1"/>
  <c r="N128" i="1"/>
  <c r="N108" i="1"/>
  <c r="O106" i="1"/>
  <c r="C130" i="1"/>
  <c r="AE109" i="1"/>
  <c r="AD112" i="1"/>
  <c r="O112" i="1"/>
  <c r="N60" i="1"/>
  <c r="AE119" i="1"/>
  <c r="O115" i="1"/>
  <c r="N118" i="1"/>
  <c r="N125" i="1"/>
  <c r="AD108" i="1"/>
  <c r="O121" i="1"/>
  <c r="C120" i="1"/>
  <c r="O117" i="1"/>
  <c r="AD122" i="1"/>
  <c r="AE126" i="1"/>
  <c r="C59" i="1"/>
  <c r="O127" i="1"/>
  <c r="N104" i="1"/>
  <c r="C116" i="1"/>
  <c r="N124" i="1"/>
  <c r="AD110" i="1"/>
  <c r="O129" i="1"/>
  <c r="AE107" i="1"/>
  <c r="AE108" i="1"/>
  <c r="AD118" i="1"/>
  <c r="AD59" i="1"/>
  <c r="AE118" i="1"/>
  <c r="C124" i="1"/>
  <c r="O122" i="1"/>
  <c r="C60" i="1"/>
  <c r="N129" i="1"/>
  <c r="O123" i="1"/>
  <c r="AD109" i="1"/>
  <c r="O111" i="1"/>
  <c r="O128" i="1"/>
  <c r="N107" i="1"/>
  <c r="O120" i="1"/>
  <c r="AE110" i="1"/>
  <c r="N120" i="1"/>
  <c r="N103" i="1"/>
  <c r="N111" i="1"/>
  <c r="AD131" i="1"/>
  <c r="AE112" i="1"/>
  <c r="AE105" i="1"/>
  <c r="O108" i="1"/>
  <c r="N116" i="1"/>
  <c r="AE115" i="1"/>
  <c r="N115" i="1"/>
  <c r="AD119" i="1"/>
  <c r="C117" i="1"/>
  <c r="C131" i="1"/>
  <c r="O118" i="1"/>
  <c r="AE111" i="1"/>
  <c r="AE117" i="1"/>
  <c r="AD115" i="1"/>
  <c r="N109" i="1"/>
  <c r="C128" i="1"/>
  <c r="O119" i="1"/>
  <c r="AD106" i="1"/>
  <c r="AE124" i="1"/>
  <c r="C19" i="1"/>
  <c r="S119" i="1"/>
  <c r="S113" i="1"/>
  <c r="S103" i="1"/>
  <c r="S120" i="1"/>
  <c r="S121" i="1"/>
  <c r="S123" i="1"/>
  <c r="S124" i="1"/>
  <c r="S122" i="1"/>
  <c r="S125" i="1"/>
  <c r="C46" i="1"/>
  <c r="C40" i="1"/>
  <c r="C34" i="1"/>
  <c r="C28" i="1"/>
  <c r="C22" i="1"/>
  <c r="C13" i="1"/>
  <c r="C4" i="1"/>
  <c r="C37" i="1"/>
  <c r="C31" i="1"/>
  <c r="C25" i="1"/>
  <c r="C16" i="1"/>
  <c r="C10" i="1"/>
  <c r="C7" i="1"/>
  <c r="C48" i="1"/>
  <c r="C45" i="1"/>
  <c r="C42" i="1"/>
  <c r="C39" i="1"/>
  <c r="C36" i="1"/>
  <c r="C33" i="1"/>
  <c r="C30" i="1"/>
  <c r="C27" i="1"/>
  <c r="C24" i="1"/>
  <c r="C21" i="1"/>
  <c r="C18" i="1"/>
  <c r="C15" i="1"/>
  <c r="C12" i="1"/>
  <c r="C9" i="1"/>
  <c r="C6" i="1"/>
  <c r="C3" i="1"/>
  <c r="C47" i="1"/>
  <c r="C44" i="1"/>
  <c r="C41" i="1"/>
  <c r="C38" i="1"/>
  <c r="C35" i="1"/>
  <c r="C32" i="1"/>
  <c r="C29" i="1"/>
  <c r="C26" i="1"/>
  <c r="C23" i="1"/>
  <c r="C20" i="1"/>
  <c r="C17" i="1"/>
  <c r="C14" i="1"/>
  <c r="C11" i="1"/>
  <c r="C8" i="1"/>
  <c r="C5" i="1"/>
  <c r="C2" i="1"/>
  <c r="C98" i="1"/>
  <c r="C95" i="1"/>
  <c r="C100" i="1"/>
  <c r="C97" i="1"/>
  <c r="C101" i="1"/>
  <c r="C102" i="1"/>
  <c r="C99" i="1"/>
  <c r="C96" i="1"/>
  <c r="C91" i="1"/>
  <c r="C88" i="1"/>
  <c r="C85" i="1"/>
  <c r="C56" i="1"/>
  <c r="C64" i="1"/>
  <c r="C61" i="1"/>
  <c r="C54" i="1"/>
  <c r="C51" i="1"/>
  <c r="C69" i="1"/>
  <c r="C87" i="1"/>
  <c r="C75" i="1"/>
  <c r="C92" i="1"/>
  <c r="C63" i="1"/>
  <c r="C80" i="1"/>
  <c r="C50" i="1"/>
  <c r="C68" i="1"/>
  <c r="C89" i="1"/>
  <c r="C55" i="1"/>
  <c r="C77" i="1"/>
  <c r="C94" i="1"/>
  <c r="C65" i="1"/>
  <c r="C62" i="1"/>
  <c r="C49" i="1"/>
  <c r="C79" i="1"/>
  <c r="C76" i="1"/>
  <c r="C73" i="1"/>
  <c r="C93" i="1"/>
  <c r="C67" i="1"/>
  <c r="C81" i="1"/>
  <c r="C84" i="1"/>
  <c r="C90" i="1"/>
  <c r="C72" i="1"/>
  <c r="C78" i="1"/>
  <c r="C58" i="1"/>
  <c r="C66" i="1"/>
  <c r="C83" i="1"/>
  <c r="C53" i="1"/>
  <c r="C71" i="1"/>
  <c r="C86" i="1"/>
  <c r="C57" i="1"/>
  <c r="C74" i="1"/>
  <c r="C82" i="1"/>
  <c r="C52" i="1"/>
  <c r="C70" i="1"/>
  <c r="S74" i="1"/>
  <c r="U74" i="1" s="1"/>
  <c r="S75" i="1"/>
  <c r="U75" i="1" s="1"/>
  <c r="S73" i="1"/>
  <c r="U73" i="1" s="1"/>
  <c r="S72" i="1"/>
  <c r="U72" i="1" s="1"/>
  <c r="AE98" i="1"/>
  <c r="AE97" i="1"/>
  <c r="O98" i="1"/>
  <c r="N101" i="1"/>
  <c r="AE95" i="1"/>
  <c r="AE99" i="1"/>
  <c r="AD101" i="1"/>
  <c r="N100" i="1"/>
  <c r="O96" i="1"/>
  <c r="O102" i="1"/>
  <c r="N96" i="1"/>
  <c r="AD95" i="1"/>
  <c r="AD100" i="1"/>
  <c r="O97" i="1"/>
  <c r="AE101" i="1"/>
  <c r="AE102" i="1"/>
  <c r="AD98" i="1"/>
  <c r="O100" i="1"/>
  <c r="N98" i="1"/>
  <c r="N102" i="1"/>
  <c r="O101" i="1"/>
  <c r="N97" i="1"/>
  <c r="O99" i="1"/>
  <c r="N99" i="1"/>
  <c r="AD99" i="1"/>
  <c r="AD97" i="1"/>
  <c r="AE100" i="1"/>
  <c r="AD96" i="1"/>
  <c r="AD102" i="1"/>
  <c r="O95" i="1"/>
  <c r="AE96" i="1"/>
  <c r="N95" i="1"/>
  <c r="N55" i="1"/>
  <c r="N68" i="1"/>
  <c r="N80" i="1"/>
  <c r="N92" i="1"/>
  <c r="O64" i="1"/>
  <c r="O86" i="1"/>
  <c r="AD49" i="1"/>
  <c r="AD62" i="1"/>
  <c r="AD74" i="1"/>
  <c r="AD86" i="1"/>
  <c r="AE52" i="1"/>
  <c r="AE65" i="1"/>
  <c r="AE77" i="1"/>
  <c r="AE89" i="1"/>
  <c r="AD64" i="1"/>
  <c r="AD88" i="1"/>
  <c r="AE79" i="1"/>
  <c r="O74" i="1"/>
  <c r="AE56" i="1"/>
  <c r="N69" i="1"/>
  <c r="N81" i="1"/>
  <c r="N93" i="1"/>
  <c r="O65" i="1"/>
  <c r="O87" i="1"/>
  <c r="AD50" i="1"/>
  <c r="AD63" i="1"/>
  <c r="AD75" i="1"/>
  <c r="AD87" i="1"/>
  <c r="AE53" i="1"/>
  <c r="AE66" i="1"/>
  <c r="AE78" i="1"/>
  <c r="AE90" i="1"/>
  <c r="AD51" i="1"/>
  <c r="AD76" i="1"/>
  <c r="AE67" i="1"/>
  <c r="AE91" i="1"/>
  <c r="O94" i="1"/>
  <c r="AD67" i="1"/>
  <c r="AE61" i="1"/>
  <c r="N56" i="1"/>
  <c r="N70" i="1"/>
  <c r="N82" i="1"/>
  <c r="N94" i="1"/>
  <c r="O66" i="1"/>
  <c r="O88" i="1"/>
  <c r="AE54" i="1"/>
  <c r="AE70" i="1"/>
  <c r="O56" i="1"/>
  <c r="AD70" i="1"/>
  <c r="AE86" i="1"/>
  <c r="N57" i="1"/>
  <c r="N71" i="1"/>
  <c r="N83" i="1"/>
  <c r="O49" i="1"/>
  <c r="O70" i="1"/>
  <c r="O89" i="1"/>
  <c r="AD52" i="1"/>
  <c r="AD65" i="1"/>
  <c r="AD77" i="1"/>
  <c r="AD89" i="1"/>
  <c r="AE55" i="1"/>
  <c r="AE68" i="1"/>
  <c r="AE80" i="1"/>
  <c r="AE92" i="1"/>
  <c r="AD66" i="1"/>
  <c r="AE93" i="1"/>
  <c r="N61" i="1"/>
  <c r="N85" i="1"/>
  <c r="AD79" i="1"/>
  <c r="AE82" i="1"/>
  <c r="AE73" i="1"/>
  <c r="AE64" i="1"/>
  <c r="N58" i="1"/>
  <c r="N72" i="1"/>
  <c r="N84" i="1"/>
  <c r="O50" i="1"/>
  <c r="O71" i="1"/>
  <c r="O90" i="1"/>
  <c r="AD53" i="1"/>
  <c r="AD78" i="1"/>
  <c r="AD90" i="1"/>
  <c r="AE69" i="1"/>
  <c r="AE81" i="1"/>
  <c r="N73" i="1"/>
  <c r="O51" i="1"/>
  <c r="AD54" i="1"/>
  <c r="AD91" i="1"/>
  <c r="AE94" i="1"/>
  <c r="N51" i="1"/>
  <c r="N76" i="1"/>
  <c r="O77" i="1"/>
  <c r="AD56" i="1"/>
  <c r="AD71" i="1"/>
  <c r="AE74" i="1"/>
  <c r="AD94" i="1"/>
  <c r="AD83" i="1"/>
  <c r="AE76" i="1"/>
  <c r="N49" i="1"/>
  <c r="N62" i="1"/>
  <c r="N74" i="1"/>
  <c r="N86" i="1"/>
  <c r="O52" i="1"/>
  <c r="O75" i="1"/>
  <c r="AD55" i="1"/>
  <c r="AD68" i="1"/>
  <c r="AD80" i="1"/>
  <c r="AD92" i="1"/>
  <c r="AE57" i="1"/>
  <c r="AE71" i="1"/>
  <c r="AE83" i="1"/>
  <c r="N50" i="1"/>
  <c r="N63" i="1"/>
  <c r="N75" i="1"/>
  <c r="N87" i="1"/>
  <c r="O53" i="1"/>
  <c r="O76" i="1"/>
  <c r="AD69" i="1"/>
  <c r="AD81" i="1"/>
  <c r="AD93" i="1"/>
  <c r="AE58" i="1"/>
  <c r="AE72" i="1"/>
  <c r="AE84" i="1"/>
  <c r="N64" i="1"/>
  <c r="N88" i="1"/>
  <c r="AD82" i="1"/>
  <c r="AD57" i="1"/>
  <c r="AE62" i="1"/>
  <c r="AD73" i="1"/>
  <c r="AE51" i="1"/>
  <c r="AE49" i="1"/>
  <c r="AE88" i="1"/>
  <c r="AE85" i="1"/>
  <c r="N52" i="1"/>
  <c r="N65" i="1"/>
  <c r="N77" i="1"/>
  <c r="N89" i="1"/>
  <c r="O57" i="1"/>
  <c r="O78" i="1"/>
  <c r="N53" i="1"/>
  <c r="N66" i="1"/>
  <c r="N78" i="1"/>
  <c r="N90" i="1"/>
  <c r="O62" i="1"/>
  <c r="O82" i="1"/>
  <c r="AD58" i="1"/>
  <c r="AD72" i="1"/>
  <c r="AD84" i="1"/>
  <c r="AE50" i="1"/>
  <c r="AE63" i="1"/>
  <c r="AE75" i="1"/>
  <c r="AE87" i="1"/>
  <c r="N54" i="1"/>
  <c r="N67" i="1"/>
  <c r="N79" i="1"/>
  <c r="N91" i="1"/>
  <c r="O63" i="1"/>
  <c r="O83" i="1"/>
  <c r="AD61" i="1"/>
  <c r="AD85" i="1"/>
  <c r="O84" i="1"/>
  <c r="O69" i="1"/>
  <c r="O67" i="1"/>
  <c r="O72" i="1"/>
  <c r="O54" i="1"/>
  <c r="O85" i="1"/>
  <c r="O58" i="1"/>
  <c r="O73" i="1"/>
  <c r="O61" i="1"/>
  <c r="O92" i="1"/>
  <c r="O80" i="1"/>
  <c r="O93" i="1"/>
  <c r="O91" i="1"/>
  <c r="O81" i="1"/>
  <c r="O79" i="1"/>
  <c r="O68" i="1"/>
  <c r="O55" i="1"/>
  <c r="S16" i="1"/>
  <c r="U16" i="1" s="1"/>
  <c r="S17" i="1"/>
  <c r="U17" i="1" s="1"/>
  <c r="S23" i="1"/>
  <c r="U23" i="1" s="1"/>
  <c r="S47" i="1"/>
  <c r="U47" i="1" s="1"/>
  <c r="S19" i="1"/>
  <c r="U19" i="1" s="1"/>
  <c r="S20" i="1"/>
  <c r="U20" i="1" s="1"/>
  <c r="S40" i="1"/>
  <c r="U40" i="1" s="1"/>
  <c r="S39" i="1"/>
  <c r="U39" i="1" s="1"/>
  <c r="O20" i="1"/>
  <c r="AE14" i="1"/>
  <c r="N7" i="1"/>
  <c r="AL19" i="1"/>
  <c r="O8" i="1"/>
  <c r="AE23" i="1"/>
  <c r="N5" i="1"/>
  <c r="N42" i="1"/>
  <c r="N3" i="1"/>
  <c r="O17" i="1"/>
  <c r="AD14" i="1"/>
  <c r="AE41" i="1"/>
  <c r="AE4" i="1"/>
  <c r="AD24" i="1"/>
  <c r="AE7" i="1"/>
  <c r="AE45" i="1"/>
  <c r="AE42" i="1"/>
  <c r="AE37" i="1"/>
  <c r="AE35" i="1"/>
  <c r="N31" i="1"/>
  <c r="AD7" i="1"/>
  <c r="N6" i="1"/>
  <c r="N2" i="1"/>
  <c r="O5" i="1"/>
  <c r="O3" i="1"/>
  <c r="O40" i="1"/>
  <c r="N24" i="1"/>
  <c r="O18" i="1"/>
  <c r="AE43" i="1"/>
  <c r="O27" i="1"/>
  <c r="N18" i="1"/>
  <c r="O14" i="1"/>
  <c r="O46" i="1"/>
  <c r="AD42" i="1"/>
  <c r="N41" i="1"/>
  <c r="AD37" i="1"/>
  <c r="AD35" i="1"/>
  <c r="N28" i="1"/>
  <c r="O26" i="1"/>
  <c r="N16" i="1"/>
  <c r="O12" i="1"/>
  <c r="AD11" i="1"/>
  <c r="AE8" i="1"/>
  <c r="N4" i="1"/>
  <c r="O28" i="1"/>
  <c r="N15" i="1"/>
  <c r="AD44" i="1"/>
  <c r="AD26" i="1"/>
  <c r="O10" i="1"/>
  <c r="N45" i="1"/>
  <c r="N20" i="1"/>
  <c r="O11" i="1"/>
  <c r="N11" i="1"/>
  <c r="AD41" i="1"/>
  <c r="N26" i="1"/>
  <c r="AE25" i="1"/>
  <c r="N23" i="1"/>
  <c r="O19" i="1"/>
  <c r="AD18" i="1"/>
  <c r="N12" i="1"/>
  <c r="AD8" i="1"/>
  <c r="N17" i="1"/>
  <c r="N8" i="1"/>
  <c r="O38" i="1"/>
  <c r="O13" i="1"/>
  <c r="AD6" i="1"/>
  <c r="N38" i="1"/>
  <c r="N25" i="1"/>
  <c r="AD46" i="1"/>
  <c r="N44" i="1"/>
  <c r="AE38" i="1"/>
  <c r="N33" i="1"/>
  <c r="AE20" i="1"/>
  <c r="N19" i="1"/>
  <c r="AE13" i="1"/>
  <c r="O7" i="1"/>
  <c r="O48" i="1"/>
  <c r="AD12" i="1"/>
  <c r="O24" i="1"/>
  <c r="O45" i="1"/>
  <c r="N32" i="1"/>
  <c r="O25" i="1"/>
  <c r="N47" i="1"/>
  <c r="N29" i="1"/>
  <c r="AD4" i="1"/>
  <c r="O6" i="1"/>
  <c r="AD45" i="1"/>
  <c r="O42" i="1"/>
  <c r="O41" i="1"/>
  <c r="AD38" i="1"/>
  <c r="N30" i="1"/>
  <c r="AD20" i="1"/>
  <c r="AD13" i="1"/>
  <c r="N10" i="1"/>
  <c r="AE15" i="1"/>
  <c r="AE21" i="1"/>
  <c r="AO43" i="1"/>
  <c r="AD43" i="1"/>
  <c r="AE39" i="1"/>
  <c r="AD39" i="1"/>
  <c r="N27" i="1"/>
  <c r="AO23" i="1"/>
  <c r="O21" i="1"/>
  <c r="AE17" i="1"/>
  <c r="AE10" i="1"/>
  <c r="AD9" i="1"/>
  <c r="AD21" i="1"/>
  <c r="AD16" i="1"/>
  <c r="AE44" i="1"/>
  <c r="O43" i="1"/>
  <c r="AO36" i="1"/>
  <c r="AE24" i="1"/>
  <c r="AD23" i="1"/>
  <c r="N21" i="1"/>
  <c r="AE18" i="1"/>
  <c r="AD17" i="1"/>
  <c r="O15" i="1"/>
  <c r="N14" i="1"/>
  <c r="AE11" i="1"/>
  <c r="AD10" i="1"/>
  <c r="AE5" i="1"/>
  <c r="O4" i="1"/>
  <c r="O2" i="1"/>
  <c r="AE22" i="1"/>
  <c r="AE16" i="1"/>
  <c r="AD15" i="1"/>
  <c r="AO9" i="1"/>
  <c r="AE9" i="1"/>
  <c r="N48" i="1"/>
  <c r="N46" i="1"/>
  <c r="N43" i="1"/>
  <c r="AE36" i="1"/>
  <c r="AO25" i="1"/>
  <c r="O22" i="1"/>
  <c r="O16" i="1"/>
  <c r="AD5" i="1"/>
  <c r="AE40" i="1"/>
  <c r="O39" i="1"/>
  <c r="AD36" i="1"/>
  <c r="AD25" i="1"/>
  <c r="N22" i="1"/>
  <c r="AE19" i="1"/>
  <c r="AE12" i="1"/>
  <c r="AD22" i="1"/>
  <c r="O44" i="1"/>
  <c r="AD40" i="1"/>
  <c r="O23" i="1"/>
  <c r="AD19" i="1"/>
  <c r="AE6" i="1"/>
  <c r="N40" i="1"/>
  <c r="N39" i="1"/>
  <c r="AD34" i="1"/>
  <c r="AE33" i="1"/>
  <c r="AE32" i="1"/>
  <c r="AE31" i="1"/>
  <c r="AO30" i="1"/>
  <c r="AD33" i="1"/>
  <c r="AD32" i="1"/>
  <c r="AD31" i="1"/>
  <c r="AE30" i="1"/>
  <c r="AE48" i="1"/>
  <c r="AD47" i="1"/>
  <c r="O37" i="1"/>
  <c r="O36" i="1"/>
  <c r="O35" i="1"/>
  <c r="AD30" i="1"/>
  <c r="AE29" i="1"/>
  <c r="AO27" i="1"/>
  <c r="N13" i="1"/>
  <c r="O9" i="1"/>
  <c r="AE34" i="1"/>
  <c r="AO32" i="1"/>
  <c r="AO31" i="1"/>
  <c r="AE47" i="1"/>
  <c r="AD48" i="1"/>
  <c r="AE46" i="1"/>
  <c r="N37" i="1"/>
  <c r="N36" i="1"/>
  <c r="N35" i="1"/>
  <c r="O34" i="1"/>
  <c r="AD29" i="1"/>
  <c r="AE28" i="1"/>
  <c r="AE27" i="1"/>
  <c r="AO26" i="1"/>
  <c r="N9" i="1"/>
  <c r="N34" i="1"/>
  <c r="O33" i="1"/>
  <c r="O32" i="1"/>
  <c r="O31" i="1"/>
  <c r="AD28" i="1"/>
  <c r="AD27" i="1"/>
  <c r="AE26" i="1"/>
  <c r="AO3" i="1"/>
  <c r="AE3" i="1"/>
  <c r="AE2" i="1"/>
  <c r="O47" i="1"/>
  <c r="O30" i="1"/>
  <c r="O29" i="1"/>
  <c r="AD3" i="1"/>
  <c r="AD2" i="1"/>
  <c r="P2" i="3"/>
  <c r="P7" i="3"/>
  <c r="P4" i="3"/>
  <c r="P8" i="3"/>
  <c r="P5" i="3"/>
  <c r="P6" i="3"/>
  <c r="P9" i="3"/>
  <c r="P10" i="3"/>
  <c r="P11" i="3"/>
  <c r="P12" i="3"/>
  <c r="P14" i="3"/>
  <c r="P15" i="3"/>
  <c r="P18" i="3"/>
  <c r="P19" i="3"/>
  <c r="P20" i="3"/>
  <c r="P21" i="3"/>
  <c r="P22" i="3"/>
  <c r="P23" i="3"/>
  <c r="P25" i="3"/>
  <c r="P26" i="3"/>
  <c r="P27" i="3"/>
  <c r="P28" i="3"/>
  <c r="P29" i="3"/>
  <c r="P30" i="3"/>
  <c r="P31" i="3"/>
  <c r="P32" i="3"/>
  <c r="P33" i="3"/>
  <c r="P34" i="3"/>
  <c r="P35" i="3"/>
  <c r="P37" i="3"/>
  <c r="P38" i="3"/>
  <c r="P39" i="3"/>
  <c r="P40" i="3"/>
  <c r="P41" i="3"/>
  <c r="P42" i="3"/>
  <c r="P43" i="3"/>
  <c r="P44" i="3"/>
  <c r="P45" i="3"/>
  <c r="Q7" i="3"/>
  <c r="Q2" i="3"/>
  <c r="Q4" i="3"/>
  <c r="Q8" i="3"/>
  <c r="Q5" i="3"/>
  <c r="Q6" i="3"/>
  <c r="Q9" i="3"/>
  <c r="Q10" i="3"/>
  <c r="Q11" i="3"/>
  <c r="Q12" i="3"/>
  <c r="Q14" i="3"/>
  <c r="Q15" i="3"/>
  <c r="Q18" i="3"/>
  <c r="Q19" i="3"/>
  <c r="Q20" i="3"/>
  <c r="Q21" i="3"/>
  <c r="Q22" i="3"/>
  <c r="Q23" i="3"/>
  <c r="Q25" i="3"/>
  <c r="Q26" i="3"/>
  <c r="Q27" i="3"/>
  <c r="Q28" i="3"/>
  <c r="Q29" i="3"/>
  <c r="Q30" i="3"/>
  <c r="Q31" i="3"/>
  <c r="Q32" i="3"/>
  <c r="Q33" i="3"/>
  <c r="Q34" i="3"/>
  <c r="Q35" i="3"/>
  <c r="Q37" i="3"/>
  <c r="Q38" i="3"/>
  <c r="Q39" i="3"/>
  <c r="Q40" i="3"/>
  <c r="Q41" i="3"/>
  <c r="Q42" i="3"/>
  <c r="Q43" i="3"/>
  <c r="Q44" i="3"/>
  <c r="Q45" i="3"/>
  <c r="T125" i="1" l="1"/>
  <c r="U125" i="1"/>
  <c r="AR125" i="1" s="1"/>
  <c r="AC125" i="1"/>
  <c r="V125" i="1"/>
  <c r="U122" i="1"/>
  <c r="AR122" i="1" s="1"/>
  <c r="V122" i="1"/>
  <c r="AC122" i="1"/>
  <c r="T122" i="1"/>
  <c r="T124" i="1"/>
  <c r="U124" i="1"/>
  <c r="AR124" i="1" s="1"/>
  <c r="AC124" i="1"/>
  <c r="V124" i="1"/>
  <c r="T123" i="1"/>
  <c r="U123" i="1"/>
  <c r="AR123" i="1" s="1"/>
  <c r="AC123" i="1"/>
  <c r="V123" i="1"/>
  <c r="U121" i="1"/>
  <c r="AR121" i="1" s="1"/>
  <c r="T121" i="1"/>
  <c r="AC121" i="1"/>
  <c r="V121" i="1"/>
  <c r="V120" i="1"/>
  <c r="U120" i="1"/>
  <c r="AR120" i="1" s="1"/>
  <c r="AC120" i="1"/>
  <c r="T120" i="1"/>
  <c r="AC103" i="1"/>
  <c r="T103" i="1"/>
  <c r="U103" i="1"/>
  <c r="AR103" i="1" s="1"/>
  <c r="V103" i="1"/>
  <c r="AC113" i="1"/>
  <c r="U113" i="1"/>
  <c r="AR113" i="1" s="1"/>
  <c r="V113" i="1"/>
  <c r="T113" i="1"/>
  <c r="V119" i="1"/>
  <c r="U119" i="1"/>
  <c r="AR119" i="1" s="1"/>
  <c r="T119" i="1"/>
  <c r="AC119" i="1"/>
  <c r="V72" i="1"/>
  <c r="AC72" i="1"/>
  <c r="T72" i="1"/>
  <c r="AC74" i="1"/>
  <c r="V74" i="1"/>
  <c r="T74" i="1"/>
  <c r="V73" i="1"/>
  <c r="AC73" i="1"/>
  <c r="T73" i="1"/>
  <c r="AC75" i="1"/>
  <c r="T75" i="1"/>
  <c r="V75" i="1"/>
  <c r="AO89" i="1"/>
  <c r="AL89" i="1"/>
  <c r="AL61" i="1"/>
  <c r="AO61" i="1"/>
  <c r="AO51" i="1"/>
  <c r="AL51" i="1"/>
  <c r="AO68" i="1"/>
  <c r="AL68" i="1"/>
  <c r="AO67" i="1"/>
  <c r="AL67" i="1"/>
  <c r="AL49" i="1"/>
  <c r="AO49" i="1"/>
  <c r="AL84" i="1"/>
  <c r="AO84" i="1"/>
  <c r="AO76" i="1"/>
  <c r="AL76" i="1"/>
  <c r="AL55" i="1"/>
  <c r="AO55" i="1"/>
  <c r="AO52" i="1"/>
  <c r="AL52" i="1"/>
  <c r="AO92" i="1"/>
  <c r="AL92" i="1"/>
  <c r="AO77" i="1"/>
  <c r="AL77" i="1"/>
  <c r="AO94" i="1"/>
  <c r="AL94" i="1"/>
  <c r="AL80" i="1"/>
  <c r="AO80" i="1"/>
  <c r="AL62" i="1"/>
  <c r="AO62" i="1"/>
  <c r="AO70" i="1"/>
  <c r="AL70" i="1"/>
  <c r="AO90" i="1"/>
  <c r="AL90" i="1"/>
  <c r="AO78" i="1"/>
  <c r="AL78" i="1"/>
  <c r="AO64" i="1"/>
  <c r="AL64" i="1"/>
  <c r="AL72" i="1"/>
  <c r="AO72" i="1"/>
  <c r="AL73" i="1"/>
  <c r="AO73" i="1"/>
  <c r="AL69" i="1"/>
  <c r="AO69" i="1"/>
  <c r="AO66" i="1"/>
  <c r="AL66" i="1"/>
  <c r="AO53" i="1"/>
  <c r="AL53" i="1"/>
  <c r="AO83" i="1"/>
  <c r="AL83" i="1"/>
  <c r="AO75" i="1"/>
  <c r="AL75" i="1"/>
  <c r="AO65" i="1"/>
  <c r="AL65" i="1"/>
  <c r="AL79" i="1"/>
  <c r="AO79" i="1"/>
  <c r="AO71" i="1"/>
  <c r="AL71" i="1"/>
  <c r="AL93" i="1"/>
  <c r="AO93" i="1"/>
  <c r="AO82" i="1"/>
  <c r="AL82" i="1"/>
  <c r="AO87" i="1"/>
  <c r="AL87" i="1"/>
  <c r="AO86" i="1"/>
  <c r="AL86" i="1"/>
  <c r="AL74" i="1"/>
  <c r="AO74" i="1"/>
  <c r="AO88" i="1"/>
  <c r="AL88" i="1"/>
  <c r="AL58" i="1"/>
  <c r="AO58" i="1"/>
  <c r="AO54" i="1"/>
  <c r="AL54" i="1"/>
  <c r="AL91" i="1"/>
  <c r="AO91" i="1"/>
  <c r="AO63" i="1"/>
  <c r="AL63" i="1"/>
  <c r="AO50" i="1"/>
  <c r="AL50" i="1"/>
  <c r="AL85" i="1"/>
  <c r="AO85" i="1"/>
  <c r="AL57" i="1"/>
  <c r="AO57" i="1"/>
  <c r="AL81" i="1"/>
  <c r="AO81" i="1"/>
  <c r="AO56" i="1"/>
  <c r="AL56" i="1"/>
  <c r="AO14" i="1"/>
  <c r="AL15" i="1"/>
  <c r="AO19" i="1"/>
  <c r="AO37" i="1"/>
  <c r="AL5" i="1"/>
  <c r="AL7" i="1"/>
  <c r="AO8" i="1"/>
  <c r="AO12" i="1"/>
  <c r="AL8" i="1"/>
  <c r="AL16" i="1"/>
  <c r="AO16" i="1"/>
  <c r="AO34" i="1"/>
  <c r="AL42" i="1"/>
  <c r="AL22" i="1"/>
  <c r="AO15" i="1"/>
  <c r="AL43" i="1"/>
  <c r="AO22" i="1"/>
  <c r="AL40" i="1"/>
  <c r="AL34" i="1"/>
  <c r="AO40" i="1"/>
  <c r="AL11" i="1"/>
  <c r="AO11" i="1"/>
  <c r="AO24" i="1"/>
  <c r="AL12" i="1"/>
  <c r="AO28" i="1"/>
  <c r="AO7" i="1"/>
  <c r="AO39" i="1"/>
  <c r="AL6" i="1"/>
  <c r="AL35" i="1"/>
  <c r="AL10" i="1"/>
  <c r="AL20" i="1"/>
  <c r="AO38" i="1"/>
  <c r="AL24" i="1"/>
  <c r="AL38" i="1"/>
  <c r="AL14" i="1"/>
  <c r="AL37" i="1"/>
  <c r="AO41" i="1"/>
  <c r="AL41" i="1"/>
  <c r="AL13" i="1"/>
  <c r="AL39" i="1"/>
  <c r="AO42" i="1"/>
  <c r="AO20" i="1"/>
  <c r="AO35" i="1"/>
  <c r="AO13" i="1"/>
  <c r="AO6" i="1"/>
  <c r="AO17" i="1"/>
  <c r="AL9" i="1"/>
  <c r="AL25" i="1"/>
  <c r="AL21" i="1"/>
  <c r="AO10" i="1"/>
  <c r="AO5" i="1"/>
  <c r="AL36" i="1"/>
  <c r="AL18" i="1"/>
  <c r="AO18" i="1"/>
  <c r="AL17" i="1"/>
  <c r="AO21" i="1"/>
  <c r="AL23" i="1"/>
  <c r="AO48" i="1"/>
  <c r="AL48" i="1"/>
  <c r="AL3" i="1"/>
  <c r="AL31" i="1"/>
  <c r="AL27" i="1"/>
  <c r="AL32" i="1"/>
  <c r="AL44" i="1"/>
  <c r="AO44" i="1"/>
  <c r="AL33" i="1"/>
  <c r="AO33" i="1"/>
  <c r="AO46" i="1"/>
  <c r="AL46" i="1"/>
  <c r="AL28" i="1"/>
  <c r="AO4" i="1"/>
  <c r="AL4" i="1"/>
  <c r="AO47" i="1"/>
  <c r="AL47" i="1"/>
  <c r="AO29" i="1"/>
  <c r="AL29" i="1"/>
  <c r="AL26" i="1"/>
  <c r="AO45" i="1"/>
  <c r="AL45" i="1"/>
  <c r="AL30" i="1"/>
  <c r="AR72" i="1" l="1"/>
  <c r="AR75" i="1"/>
  <c r="AR73" i="1"/>
  <c r="AR74" i="1"/>
  <c r="P7" i="7"/>
  <c r="P8" i="7"/>
  <c r="P9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9" i="7"/>
  <c r="P24" i="7"/>
  <c r="P25" i="7"/>
  <c r="P26" i="7"/>
  <c r="P27" i="7"/>
  <c r="P28" i="7"/>
  <c r="P30" i="7"/>
  <c r="P31" i="7"/>
  <c r="P32" i="7"/>
  <c r="P37" i="7"/>
  <c r="P33" i="7"/>
  <c r="P34" i="7"/>
  <c r="P35" i="7"/>
  <c r="P36" i="7"/>
  <c r="O7" i="7" a="1"/>
  <c r="O7" i="7" s="1"/>
  <c r="O8" i="7" a="1"/>
  <c r="O8" i="7" s="1"/>
  <c r="O9" i="7" a="1"/>
  <c r="O9" i="7" s="1"/>
  <c r="O11" i="7" a="1"/>
  <c r="O11" i="7" s="1"/>
  <c r="O12" i="7" a="1"/>
  <c r="O12" i="7" s="1"/>
  <c r="O13" i="7" a="1"/>
  <c r="O13" i="7" s="1"/>
  <c r="O14" i="7" a="1"/>
  <c r="O14" i="7" s="1"/>
  <c r="O15" i="7" a="1"/>
  <c r="O15" i="7" s="1"/>
  <c r="O16" i="7" a="1"/>
  <c r="O16" i="7" s="1"/>
  <c r="O17" i="7" a="1"/>
  <c r="O17" i="7" s="1"/>
  <c r="O18" i="7" a="1"/>
  <c r="O18" i="7" s="1"/>
  <c r="O19" i="7" a="1"/>
  <c r="O19" i="7" s="1"/>
  <c r="O20" i="7" a="1"/>
  <c r="O20" i="7" s="1"/>
  <c r="O21" i="7" a="1"/>
  <c r="O21" i="7" s="1"/>
  <c r="O22" i="7" a="1"/>
  <c r="O22" i="7" s="1"/>
  <c r="O23" i="7" a="1"/>
  <c r="O23" i="7" s="1"/>
  <c r="O29" i="7" a="1"/>
  <c r="O29" i="7" s="1"/>
  <c r="O24" i="7" a="1"/>
  <c r="O24" i="7" s="1"/>
  <c r="O25" i="7" a="1"/>
  <c r="O25" i="7" s="1"/>
  <c r="O26" i="7" a="1"/>
  <c r="O26" i="7" s="1"/>
  <c r="O27" i="7" a="1"/>
  <c r="O27" i="7" s="1"/>
  <c r="O28" i="7" a="1"/>
  <c r="O28" i="7" s="1"/>
  <c r="O30" i="7" a="1"/>
  <c r="O30" i="7" s="1"/>
  <c r="O31" i="7" a="1"/>
  <c r="O31" i="7" s="1"/>
  <c r="O32" i="7" a="1"/>
  <c r="O32" i="7" s="1"/>
  <c r="O37" i="7" a="1"/>
  <c r="O37" i="7" s="1"/>
  <c r="O33" i="7" a="1"/>
  <c r="O33" i="7" s="1"/>
  <c r="O34" i="7" a="1"/>
  <c r="O34" i="7" s="1"/>
  <c r="O35" i="7" a="1"/>
  <c r="O35" i="7" s="1"/>
  <c r="O36" i="7" a="1"/>
  <c r="O36" i="7" s="1"/>
  <c r="N7" i="7"/>
  <c r="N8" i="7"/>
  <c r="N9" i="7"/>
  <c r="S37" i="1" s="1"/>
  <c r="U37" i="1" s="1"/>
  <c r="N11" i="7"/>
  <c r="N12" i="7"/>
  <c r="N13" i="7"/>
  <c r="N14" i="7"/>
  <c r="N15" i="7"/>
  <c r="N16" i="7"/>
  <c r="N17" i="7"/>
  <c r="N18" i="7"/>
  <c r="N19" i="7"/>
  <c r="S13" i="1" s="1"/>
  <c r="U13" i="1" s="1"/>
  <c r="N20" i="7"/>
  <c r="N21" i="7"/>
  <c r="N22" i="7"/>
  <c r="S21" i="1" s="1"/>
  <c r="U21" i="1" s="1"/>
  <c r="N23" i="7"/>
  <c r="N29" i="7"/>
  <c r="S24" i="1" s="1"/>
  <c r="U24" i="1" s="1"/>
  <c r="N24" i="7"/>
  <c r="S25" i="1" s="1"/>
  <c r="U25" i="1" s="1"/>
  <c r="N25" i="7"/>
  <c r="N26" i="7"/>
  <c r="N27" i="7"/>
  <c r="S56" i="1" s="1"/>
  <c r="U56" i="1" s="1"/>
  <c r="N28" i="7"/>
  <c r="N30" i="7"/>
  <c r="N31" i="7"/>
  <c r="N32" i="7"/>
  <c r="N37" i="7"/>
  <c r="N33" i="7"/>
  <c r="N34" i="7"/>
  <c r="N35" i="7"/>
  <c r="S34" i="1" s="1"/>
  <c r="U34" i="1" s="1"/>
  <c r="N36" i="7"/>
  <c r="M7" i="7"/>
  <c r="M8" i="7"/>
  <c r="M9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9" i="7"/>
  <c r="M24" i="7"/>
  <c r="M25" i="7"/>
  <c r="M26" i="7"/>
  <c r="M27" i="7"/>
  <c r="M28" i="7"/>
  <c r="M30" i="7"/>
  <c r="M31" i="7"/>
  <c r="M32" i="7"/>
  <c r="M37" i="7"/>
  <c r="M33" i="7"/>
  <c r="M34" i="7"/>
  <c r="M35" i="7"/>
  <c r="M36" i="7"/>
  <c r="A2" i="7"/>
  <c r="A3" i="7"/>
  <c r="A4" i="7"/>
  <c r="A5" i="7"/>
  <c r="A10" i="7"/>
  <c r="A6" i="7"/>
  <c r="A7" i="7"/>
  <c r="A8" i="7"/>
  <c r="A9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9" i="7"/>
  <c r="A24" i="7"/>
  <c r="A25" i="7"/>
  <c r="A26" i="7"/>
  <c r="A27" i="7"/>
  <c r="A28" i="7"/>
  <c r="A30" i="7"/>
  <c r="A31" i="7"/>
  <c r="A32" i="7"/>
  <c r="A37" i="7"/>
  <c r="A33" i="7"/>
  <c r="A34" i="7"/>
  <c r="A35" i="7"/>
  <c r="A36" i="7"/>
  <c r="S118" i="1" l="1"/>
  <c r="S114" i="1"/>
  <c r="S104" i="1"/>
  <c r="S110" i="1"/>
  <c r="S130" i="1"/>
  <c r="S108" i="1"/>
  <c r="S109" i="1"/>
  <c r="S2" i="1"/>
  <c r="U2" i="1" s="1"/>
  <c r="S111" i="1"/>
  <c r="S116" i="1"/>
  <c r="S117" i="1"/>
  <c r="S115" i="1"/>
  <c r="S59" i="1"/>
  <c r="S131" i="1"/>
  <c r="S60" i="1"/>
  <c r="S48" i="1"/>
  <c r="U48" i="1" s="1"/>
  <c r="S128" i="1"/>
  <c r="S127" i="1"/>
  <c r="S126" i="1"/>
  <c r="S129" i="1"/>
  <c r="S112" i="1"/>
  <c r="S106" i="1"/>
  <c r="S105" i="1"/>
  <c r="S107" i="1"/>
  <c r="S86" i="1"/>
  <c r="U86" i="1" s="1"/>
  <c r="S87" i="1"/>
  <c r="U87" i="1" s="1"/>
  <c r="S80" i="1"/>
  <c r="U80" i="1" s="1"/>
  <c r="S88" i="1"/>
  <c r="U88" i="1" s="1"/>
  <c r="S89" i="1"/>
  <c r="U89" i="1" s="1"/>
  <c r="S79" i="1"/>
  <c r="U79" i="1" s="1"/>
  <c r="S78" i="1"/>
  <c r="U78" i="1" s="1"/>
  <c r="S70" i="1"/>
  <c r="U70" i="1" s="1"/>
  <c r="S82" i="1"/>
  <c r="U82" i="1" s="1"/>
  <c r="S94" i="1"/>
  <c r="U94" i="1" s="1"/>
  <c r="S71" i="1"/>
  <c r="U71" i="1" s="1"/>
  <c r="S83" i="1"/>
  <c r="U83" i="1" s="1"/>
  <c r="S93" i="1"/>
  <c r="U93" i="1" s="1"/>
  <c r="S84" i="1"/>
  <c r="U84" i="1" s="1"/>
  <c r="S85" i="1"/>
  <c r="U85" i="1" s="1"/>
  <c r="S81" i="1"/>
  <c r="U81" i="1" s="1"/>
  <c r="S101" i="1"/>
  <c r="U101" i="1" s="1"/>
  <c r="S102" i="1"/>
  <c r="U102" i="1" s="1"/>
  <c r="S69" i="1"/>
  <c r="U69" i="1" s="1"/>
  <c r="S90" i="1"/>
  <c r="U90" i="1" s="1"/>
  <c r="S92" i="1"/>
  <c r="U92" i="1" s="1"/>
  <c r="S57" i="1"/>
  <c r="U57" i="1" s="1"/>
  <c r="S58" i="1"/>
  <c r="U58" i="1" s="1"/>
  <c r="S76" i="1"/>
  <c r="U76" i="1" s="1"/>
  <c r="S55" i="1"/>
  <c r="U55" i="1" s="1"/>
  <c r="S52" i="1"/>
  <c r="U52" i="1" s="1"/>
  <c r="S77" i="1"/>
  <c r="U77" i="1" s="1"/>
  <c r="S53" i="1"/>
  <c r="U53" i="1" s="1"/>
  <c r="S54" i="1"/>
  <c r="U54" i="1" s="1"/>
  <c r="V56" i="1"/>
  <c r="AR56" i="1"/>
  <c r="T56" i="1"/>
  <c r="AC56" i="1"/>
  <c r="S49" i="1"/>
  <c r="U49" i="1" s="1"/>
  <c r="S50" i="1"/>
  <c r="U50" i="1" s="1"/>
  <c r="S62" i="1"/>
  <c r="U62" i="1" s="1"/>
  <c r="S63" i="1"/>
  <c r="U63" i="1" s="1"/>
  <c r="S64" i="1"/>
  <c r="U64" i="1" s="1"/>
  <c r="S65" i="1"/>
  <c r="U65" i="1" s="1"/>
  <c r="S68" i="1"/>
  <c r="U68" i="1" s="1"/>
  <c r="S66" i="1"/>
  <c r="U66" i="1" s="1"/>
  <c r="S67" i="1"/>
  <c r="U67" i="1" s="1"/>
  <c r="S61" i="1"/>
  <c r="U61" i="1" s="1"/>
  <c r="S26" i="1"/>
  <c r="U26" i="1" s="1"/>
  <c r="S51" i="1"/>
  <c r="U51" i="1" s="1"/>
  <c r="S96" i="1"/>
  <c r="U96" i="1" s="1"/>
  <c r="S100" i="1"/>
  <c r="U100" i="1" s="1"/>
  <c r="S97" i="1"/>
  <c r="U97" i="1" s="1"/>
  <c r="S98" i="1"/>
  <c r="U98" i="1" s="1"/>
  <c r="S95" i="1"/>
  <c r="U95" i="1" s="1"/>
  <c r="S99" i="1"/>
  <c r="U99" i="1" s="1"/>
  <c r="S91" i="1"/>
  <c r="U91" i="1" s="1"/>
  <c r="S18" i="1"/>
  <c r="U18" i="1" s="1"/>
  <c r="S35" i="1"/>
  <c r="U35" i="1" s="1"/>
  <c r="S36" i="1"/>
  <c r="U36" i="1" s="1"/>
  <c r="S14" i="1"/>
  <c r="U14" i="1" s="1"/>
  <c r="S15" i="1"/>
  <c r="U15" i="1" s="1"/>
  <c r="T24" i="1"/>
  <c r="V24" i="1"/>
  <c r="AR24" i="1"/>
  <c r="AC24" i="1"/>
  <c r="S28" i="1"/>
  <c r="U28" i="1" s="1"/>
  <c r="S29" i="1"/>
  <c r="U29" i="1" s="1"/>
  <c r="S30" i="1"/>
  <c r="U30" i="1" s="1"/>
  <c r="S5" i="1"/>
  <c r="U5" i="1" s="1"/>
  <c r="S3" i="1"/>
  <c r="U3" i="1" s="1"/>
  <c r="S4" i="1"/>
  <c r="U4" i="1" s="1"/>
  <c r="S46" i="1"/>
  <c r="U46" i="1" s="1"/>
  <c r="S32" i="1"/>
  <c r="U32" i="1" s="1"/>
  <c r="S33" i="1"/>
  <c r="U33" i="1" s="1"/>
  <c r="S12" i="1"/>
  <c r="U12" i="1" s="1"/>
  <c r="S31" i="1"/>
  <c r="U31" i="1" s="1"/>
  <c r="S38" i="1"/>
  <c r="U38" i="1" s="1"/>
  <c r="S41" i="1"/>
  <c r="U41" i="1" s="1"/>
  <c r="S42" i="1"/>
  <c r="U42" i="1" s="1"/>
  <c r="S43" i="1"/>
  <c r="U43" i="1" s="1"/>
  <c r="S44" i="1"/>
  <c r="U44" i="1" s="1"/>
  <c r="S45" i="1"/>
  <c r="U45" i="1" s="1"/>
  <c r="S6" i="1"/>
  <c r="U6" i="1" s="1"/>
  <c r="S7" i="1"/>
  <c r="U7" i="1" s="1"/>
  <c r="S8" i="1"/>
  <c r="U8" i="1" s="1"/>
  <c r="S9" i="1"/>
  <c r="U9" i="1" s="1"/>
  <c r="S10" i="1"/>
  <c r="U10" i="1" s="1"/>
  <c r="S11" i="1"/>
  <c r="U11" i="1" s="1"/>
  <c r="V107" i="1" l="1"/>
  <c r="U107" i="1"/>
  <c r="AR107" i="1" s="1"/>
  <c r="T107" i="1"/>
  <c r="AC107" i="1"/>
  <c r="T115" i="1"/>
  <c r="U115" i="1"/>
  <c r="AR115" i="1" s="1"/>
  <c r="V115" i="1"/>
  <c r="AC115" i="1"/>
  <c r="AC105" i="1"/>
  <c r="U105" i="1"/>
  <c r="AR105" i="1" s="1"/>
  <c r="T105" i="1"/>
  <c r="V105" i="1"/>
  <c r="T117" i="1"/>
  <c r="U117" i="1"/>
  <c r="AR117" i="1" s="1"/>
  <c r="V117" i="1"/>
  <c r="AC117" i="1"/>
  <c r="V106" i="1"/>
  <c r="U106" i="1"/>
  <c r="AR106" i="1" s="1"/>
  <c r="T106" i="1"/>
  <c r="AC106" i="1"/>
  <c r="AC116" i="1"/>
  <c r="U116" i="1"/>
  <c r="AR116" i="1" s="1"/>
  <c r="V116" i="1"/>
  <c r="T116" i="1"/>
  <c r="AC112" i="1"/>
  <c r="U112" i="1"/>
  <c r="AR112" i="1" s="1"/>
  <c r="T112" i="1"/>
  <c r="V112" i="1"/>
  <c r="AC111" i="1"/>
  <c r="U111" i="1"/>
  <c r="AR111" i="1" s="1"/>
  <c r="V111" i="1"/>
  <c r="T111" i="1"/>
  <c r="T129" i="1"/>
  <c r="U129" i="1"/>
  <c r="AR129" i="1" s="1"/>
  <c r="V129" i="1"/>
  <c r="AC129" i="1"/>
  <c r="U126" i="1"/>
  <c r="AR126" i="1" s="1"/>
  <c r="V126" i="1"/>
  <c r="AC126" i="1"/>
  <c r="T126" i="1"/>
  <c r="U109" i="1"/>
  <c r="AR109" i="1" s="1"/>
  <c r="V109" i="1"/>
  <c r="T109" i="1"/>
  <c r="AC109" i="1"/>
  <c r="T127" i="1"/>
  <c r="U127" i="1"/>
  <c r="AR127" i="1" s="1"/>
  <c r="AC127" i="1"/>
  <c r="V127" i="1"/>
  <c r="AC108" i="1"/>
  <c r="U108" i="1"/>
  <c r="AR108" i="1" s="1"/>
  <c r="T108" i="1"/>
  <c r="V108" i="1"/>
  <c r="AC128" i="1"/>
  <c r="U128" i="1"/>
  <c r="AR128" i="1" s="1"/>
  <c r="V128" i="1"/>
  <c r="T128" i="1"/>
  <c r="T130" i="1"/>
  <c r="U130" i="1"/>
  <c r="AR130" i="1" s="1"/>
  <c r="AC130" i="1"/>
  <c r="V130" i="1"/>
  <c r="V110" i="1"/>
  <c r="U110" i="1"/>
  <c r="AR110" i="1" s="1"/>
  <c r="T110" i="1"/>
  <c r="AC110" i="1"/>
  <c r="U60" i="1"/>
  <c r="AR60" i="1" s="1"/>
  <c r="V60" i="1"/>
  <c r="AC60" i="1"/>
  <c r="T60" i="1"/>
  <c r="AC104" i="1"/>
  <c r="U104" i="1"/>
  <c r="AR104" i="1" s="1"/>
  <c r="V104" i="1"/>
  <c r="T104" i="1"/>
  <c r="T131" i="1"/>
  <c r="U131" i="1"/>
  <c r="AR131" i="1" s="1"/>
  <c r="V131" i="1"/>
  <c r="AC131" i="1"/>
  <c r="T114" i="1"/>
  <c r="U114" i="1"/>
  <c r="AR114" i="1" s="1"/>
  <c r="V114" i="1"/>
  <c r="AC114" i="1"/>
  <c r="V59" i="1"/>
  <c r="U59" i="1"/>
  <c r="AR59" i="1" s="1"/>
  <c r="T59" i="1"/>
  <c r="AC59" i="1"/>
  <c r="T118" i="1"/>
  <c r="U118" i="1"/>
  <c r="AR118" i="1" s="1"/>
  <c r="V118" i="1"/>
  <c r="AC118" i="1"/>
  <c r="V50" i="1"/>
  <c r="T50" i="1"/>
  <c r="AC50" i="1"/>
  <c r="AR50" i="1"/>
  <c r="V57" i="1"/>
  <c r="AC57" i="1"/>
  <c r="AR57" i="1"/>
  <c r="T57" i="1"/>
  <c r="V61" i="1"/>
  <c r="AC61" i="1"/>
  <c r="AR61" i="1"/>
  <c r="T61" i="1"/>
  <c r="T100" i="1"/>
  <c r="AR100" i="1"/>
  <c r="V100" i="1"/>
  <c r="AC100" i="1"/>
  <c r="V58" i="1"/>
  <c r="T58" i="1"/>
  <c r="AC58" i="1"/>
  <c r="AR58" i="1"/>
  <c r="V83" i="1"/>
  <c r="T83" i="1"/>
  <c r="AC83" i="1"/>
  <c r="AR83" i="1"/>
  <c r="AC96" i="1"/>
  <c r="AR96" i="1"/>
  <c r="T96" i="1"/>
  <c r="V96" i="1"/>
  <c r="AR49" i="1"/>
  <c r="V49" i="1"/>
  <c r="T49" i="1"/>
  <c r="AC49" i="1"/>
  <c r="V71" i="1"/>
  <c r="AC71" i="1"/>
  <c r="AR71" i="1"/>
  <c r="T71" i="1"/>
  <c r="AC51" i="1"/>
  <c r="T51" i="1"/>
  <c r="V51" i="1"/>
  <c r="AR51" i="1"/>
  <c r="V94" i="1"/>
  <c r="AC94" i="1"/>
  <c r="T94" i="1"/>
  <c r="AR94" i="1"/>
  <c r="V92" i="1"/>
  <c r="AR92" i="1"/>
  <c r="T92" i="1"/>
  <c r="AC92" i="1"/>
  <c r="V82" i="1"/>
  <c r="AC82" i="1"/>
  <c r="T82" i="1"/>
  <c r="AR82" i="1"/>
  <c r="T90" i="1"/>
  <c r="AC90" i="1"/>
  <c r="AR90" i="1"/>
  <c r="V90" i="1"/>
  <c r="V70" i="1"/>
  <c r="AR70" i="1"/>
  <c r="AC70" i="1"/>
  <c r="T70" i="1"/>
  <c r="AR67" i="1"/>
  <c r="V67" i="1"/>
  <c r="AC67" i="1"/>
  <c r="T67" i="1"/>
  <c r="V69" i="1"/>
  <c r="T69" i="1"/>
  <c r="AC69" i="1"/>
  <c r="AR69" i="1"/>
  <c r="T78" i="1"/>
  <c r="V78" i="1"/>
  <c r="AC78" i="1"/>
  <c r="AR78" i="1"/>
  <c r="T66" i="1"/>
  <c r="AC66" i="1"/>
  <c r="V66" i="1"/>
  <c r="AR66" i="1"/>
  <c r="AR54" i="1"/>
  <c r="AC54" i="1"/>
  <c r="V54" i="1"/>
  <c r="T54" i="1"/>
  <c r="T102" i="1"/>
  <c r="V102" i="1"/>
  <c r="AR102" i="1"/>
  <c r="AC102" i="1"/>
  <c r="AR79" i="1"/>
  <c r="V79" i="1"/>
  <c r="T79" i="1"/>
  <c r="AC79" i="1"/>
  <c r="T89" i="1"/>
  <c r="V89" i="1"/>
  <c r="AR89" i="1"/>
  <c r="AC89" i="1"/>
  <c r="T53" i="1"/>
  <c r="V53" i="1"/>
  <c r="AC53" i="1"/>
  <c r="AR53" i="1"/>
  <c r="AR91" i="1"/>
  <c r="T91" i="1"/>
  <c r="AC91" i="1"/>
  <c r="V91" i="1"/>
  <c r="V68" i="1"/>
  <c r="AR68" i="1"/>
  <c r="T68" i="1"/>
  <c r="AC68" i="1"/>
  <c r="V101" i="1"/>
  <c r="T101" i="1"/>
  <c r="AC101" i="1"/>
  <c r="AR101" i="1"/>
  <c r="T99" i="1"/>
  <c r="V99" i="1"/>
  <c r="AR99" i="1"/>
  <c r="AC99" i="1"/>
  <c r="T65" i="1"/>
  <c r="AR65" i="1"/>
  <c r="AC65" i="1"/>
  <c r="V65" i="1"/>
  <c r="T77" i="1"/>
  <c r="AC77" i="1"/>
  <c r="AR77" i="1"/>
  <c r="V77" i="1"/>
  <c r="V81" i="1"/>
  <c r="T81" i="1"/>
  <c r="AC81" i="1"/>
  <c r="AR81" i="1"/>
  <c r="AC88" i="1"/>
  <c r="T88" i="1"/>
  <c r="V88" i="1"/>
  <c r="AR88" i="1"/>
  <c r="AC95" i="1"/>
  <c r="AR95" i="1"/>
  <c r="T95" i="1"/>
  <c r="V95" i="1"/>
  <c r="V64" i="1"/>
  <c r="T64" i="1"/>
  <c r="AR64" i="1"/>
  <c r="AC64" i="1"/>
  <c r="T52" i="1"/>
  <c r="AR52" i="1"/>
  <c r="V52" i="1"/>
  <c r="AC52" i="1"/>
  <c r="V85" i="1"/>
  <c r="AR85" i="1"/>
  <c r="T85" i="1"/>
  <c r="AC85" i="1"/>
  <c r="V80" i="1"/>
  <c r="AC80" i="1"/>
  <c r="T80" i="1"/>
  <c r="AR80" i="1"/>
  <c r="AC98" i="1"/>
  <c r="AR98" i="1"/>
  <c r="V98" i="1"/>
  <c r="T98" i="1"/>
  <c r="V63" i="1"/>
  <c r="AR63" i="1"/>
  <c r="T63" i="1"/>
  <c r="AC63" i="1"/>
  <c r="V55" i="1"/>
  <c r="AR55" i="1"/>
  <c r="T55" i="1"/>
  <c r="AC55" i="1"/>
  <c r="V84" i="1"/>
  <c r="AC84" i="1"/>
  <c r="AR84" i="1"/>
  <c r="T84" i="1"/>
  <c r="V87" i="1"/>
  <c r="T87" i="1"/>
  <c r="AR87" i="1"/>
  <c r="AC87" i="1"/>
  <c r="AC97" i="1"/>
  <c r="AR97" i="1"/>
  <c r="V97" i="1"/>
  <c r="T97" i="1"/>
  <c r="T62" i="1"/>
  <c r="AR62" i="1"/>
  <c r="AC62" i="1"/>
  <c r="V62" i="1"/>
  <c r="T76" i="1"/>
  <c r="V76" i="1"/>
  <c r="AC76" i="1"/>
  <c r="AR76" i="1"/>
  <c r="V93" i="1"/>
  <c r="AC93" i="1"/>
  <c r="AR93" i="1"/>
  <c r="T93" i="1"/>
  <c r="T86" i="1"/>
  <c r="AC86" i="1"/>
  <c r="AR86" i="1"/>
  <c r="V86" i="1"/>
  <c r="U11" i="4"/>
  <c r="V11" i="4" s="1"/>
  <c r="R45" i="3"/>
  <c r="R44" i="3"/>
  <c r="R43" i="3"/>
  <c r="R42" i="3"/>
  <c r="R41" i="3"/>
  <c r="R40" i="3"/>
  <c r="R39" i="3"/>
  <c r="R38" i="3"/>
  <c r="R37" i="3"/>
  <c r="R35" i="3"/>
  <c r="R34" i="3"/>
  <c r="R33" i="3"/>
  <c r="R32" i="3"/>
  <c r="R31" i="3"/>
  <c r="R30" i="3"/>
  <c r="R29" i="3"/>
  <c r="R28" i="3"/>
  <c r="R27" i="3"/>
  <c r="R26" i="3"/>
  <c r="R25" i="3"/>
  <c r="R23" i="3"/>
  <c r="R22" i="3"/>
  <c r="R21" i="3"/>
  <c r="R20" i="3"/>
  <c r="R19" i="3"/>
  <c r="R18" i="3"/>
  <c r="R15" i="3"/>
  <c r="R14" i="3"/>
  <c r="R12" i="3"/>
  <c r="R11" i="3"/>
  <c r="R10" i="3"/>
  <c r="R9" i="3"/>
  <c r="R6" i="3"/>
  <c r="R5" i="3"/>
  <c r="R8" i="3"/>
  <c r="R4" i="3"/>
  <c r="R7" i="3"/>
  <c r="R2" i="3"/>
  <c r="Y113" i="1" l="1"/>
  <c r="Z113" i="1" s="1"/>
  <c r="Y103" i="1"/>
  <c r="Z103" i="1" s="1"/>
  <c r="Y111" i="1"/>
  <c r="Z111" i="1" s="1"/>
  <c r="Y126" i="1"/>
  <c r="Z126" i="1" s="1"/>
  <c r="Y129" i="1"/>
  <c r="Z129" i="1" s="1"/>
  <c r="Y118" i="1"/>
  <c r="Z118" i="1" s="1"/>
  <c r="Y114" i="1"/>
  <c r="Z114" i="1" s="1"/>
  <c r="Y108" i="1"/>
  <c r="Z108" i="1" s="1"/>
  <c r="Y130" i="1"/>
  <c r="Z130" i="1" s="1"/>
  <c r="Y109" i="1"/>
  <c r="Z109" i="1" s="1"/>
  <c r="Y60" i="1"/>
  <c r="Z60" i="1" s="1"/>
  <c r="Y131" i="1"/>
  <c r="Z131" i="1" s="1"/>
  <c r="Y59" i="1"/>
  <c r="Z59" i="1" s="1"/>
  <c r="Y104" i="1"/>
  <c r="Z104" i="1" s="1"/>
  <c r="Y105" i="1"/>
  <c r="Z105" i="1" s="1"/>
  <c r="Y106" i="1"/>
  <c r="Z106" i="1" s="1"/>
  <c r="Y110" i="1"/>
  <c r="Z110" i="1" s="1"/>
  <c r="Y112" i="1"/>
  <c r="Z112" i="1" s="1"/>
  <c r="Y107" i="1"/>
  <c r="Z107" i="1" s="1"/>
  <c r="Y127" i="1"/>
  <c r="Z127" i="1" s="1"/>
  <c r="Y128" i="1"/>
  <c r="Z128" i="1" s="1"/>
  <c r="Y117" i="1"/>
  <c r="Z117" i="1" s="1"/>
  <c r="Y119" i="1"/>
  <c r="Z119" i="1" s="1"/>
  <c r="Y120" i="1"/>
  <c r="Z120" i="1" s="1"/>
  <c r="Y121" i="1"/>
  <c r="Z121" i="1" s="1"/>
  <c r="Y122" i="1"/>
  <c r="Z122" i="1" s="1"/>
  <c r="Y123" i="1"/>
  <c r="Z123" i="1" s="1"/>
  <c r="Y124" i="1"/>
  <c r="Z124" i="1" s="1"/>
  <c r="Y125" i="1"/>
  <c r="Z125" i="1" s="1"/>
  <c r="Y115" i="1"/>
  <c r="Z115" i="1" s="1"/>
  <c r="Y116" i="1"/>
  <c r="Z116" i="1" s="1"/>
  <c r="Y101" i="1"/>
  <c r="Z101" i="1" s="1"/>
  <c r="Y102" i="1"/>
  <c r="Z102" i="1" s="1"/>
  <c r="Y91" i="1"/>
  <c r="Z91" i="1" s="1"/>
  <c r="Y99" i="1"/>
  <c r="Z99" i="1" s="1"/>
  <c r="Y100" i="1"/>
  <c r="Z100" i="1" s="1"/>
  <c r="Y97" i="1"/>
  <c r="Z97" i="1" s="1"/>
  <c r="Y98" i="1"/>
  <c r="Z98" i="1" s="1"/>
  <c r="Y95" i="1"/>
  <c r="Z95" i="1" s="1"/>
  <c r="Y96" i="1"/>
  <c r="Z96" i="1" s="1"/>
  <c r="Y78" i="1"/>
  <c r="Z78" i="1" s="1"/>
  <c r="Y81" i="1"/>
  <c r="Z81" i="1" s="1"/>
  <c r="Y93" i="1"/>
  <c r="Z93" i="1" s="1"/>
  <c r="Y84" i="1"/>
  <c r="Z84" i="1" s="1"/>
  <c r="Y79" i="1"/>
  <c r="Z79" i="1" s="1"/>
  <c r="Y80" i="1"/>
  <c r="Z80" i="1" s="1"/>
  <c r="Y70" i="1"/>
  <c r="Z70" i="1" s="1"/>
  <c r="Y82" i="1"/>
  <c r="Z82" i="1" s="1"/>
  <c r="Y94" i="1"/>
  <c r="Z94" i="1" s="1"/>
  <c r="Y86" i="1"/>
  <c r="Z86" i="1" s="1"/>
  <c r="Y88" i="1"/>
  <c r="Z88" i="1" s="1"/>
  <c r="Y71" i="1"/>
  <c r="Z71" i="1" s="1"/>
  <c r="Y83" i="1"/>
  <c r="Z83" i="1" s="1"/>
  <c r="Y85" i="1"/>
  <c r="Z85" i="1" s="1"/>
  <c r="Y87" i="1"/>
  <c r="Z87" i="1" s="1"/>
  <c r="Y89" i="1"/>
  <c r="Z89" i="1" s="1"/>
  <c r="Y72" i="1"/>
  <c r="Z72" i="1" s="1"/>
  <c r="Y74" i="1"/>
  <c r="Z74" i="1" s="1"/>
  <c r="Y73" i="1"/>
  <c r="Z73" i="1" s="1"/>
  <c r="Y75" i="1"/>
  <c r="Z75" i="1" s="1"/>
  <c r="Y53" i="1"/>
  <c r="Z53" i="1" s="1"/>
  <c r="Y54" i="1"/>
  <c r="Z54" i="1" s="1"/>
  <c r="Y55" i="1"/>
  <c r="Z55" i="1" s="1"/>
  <c r="Y49" i="1"/>
  <c r="Z49" i="1" s="1"/>
  <c r="Y76" i="1"/>
  <c r="Z76" i="1" s="1"/>
  <c r="Y50" i="1"/>
  <c r="Z50" i="1" s="1"/>
  <c r="Y52" i="1"/>
  <c r="Z52" i="1" s="1"/>
  <c r="Y77" i="1"/>
  <c r="Z77" i="1" s="1"/>
  <c r="Y66" i="1"/>
  <c r="Z66" i="1" s="1"/>
  <c r="Y90" i="1"/>
  <c r="Z90" i="1" s="1"/>
  <c r="Y69" i="1"/>
  <c r="Z69" i="1" s="1"/>
  <c r="Y58" i="1"/>
  <c r="Z58" i="1" s="1"/>
  <c r="Y67" i="1"/>
  <c r="Z67" i="1" s="1"/>
  <c r="Y68" i="1"/>
  <c r="Z68" i="1" s="1"/>
  <c r="Y92" i="1"/>
  <c r="Z92" i="1" s="1"/>
  <c r="Y56" i="1"/>
  <c r="Z56" i="1" s="1"/>
  <c r="Y62" i="1"/>
  <c r="Z62" i="1" s="1"/>
  <c r="Y51" i="1"/>
  <c r="Z51" i="1" s="1"/>
  <c r="Y64" i="1"/>
  <c r="Z64" i="1" s="1"/>
  <c r="Y57" i="1"/>
  <c r="Z57" i="1" s="1"/>
  <c r="Y61" i="1"/>
  <c r="Z61" i="1" s="1"/>
  <c r="Y63" i="1"/>
  <c r="Z63" i="1" s="1"/>
  <c r="Y65" i="1"/>
  <c r="Z65" i="1" s="1"/>
  <c r="T21" i="1"/>
  <c r="V21" i="1"/>
  <c r="AR21" i="1"/>
  <c r="AC21" i="1"/>
  <c r="T27" i="1"/>
  <c r="V27" i="1"/>
  <c r="AR27" i="1"/>
  <c r="AC27" i="1"/>
  <c r="Y35" i="1"/>
  <c r="Z35" i="1" s="1"/>
  <c r="Y32" i="1"/>
  <c r="Z32" i="1" s="1"/>
  <c r="Y14" i="1"/>
  <c r="Z14" i="1" s="1"/>
  <c r="Y18" i="1"/>
  <c r="Z18" i="1" s="1"/>
  <c r="Y43" i="1"/>
  <c r="Z43" i="1" s="1"/>
  <c r="Y33" i="1"/>
  <c r="Z33" i="1" s="1"/>
  <c r="Y36" i="1"/>
  <c r="Z36" i="1" s="1"/>
  <c r="Y44" i="1"/>
  <c r="Z44" i="1" s="1"/>
  <c r="Y41" i="1"/>
  <c r="Z41" i="1" s="1"/>
  <c r="Y15" i="1"/>
  <c r="Z15" i="1" s="1"/>
  <c r="Y42" i="1"/>
  <c r="Z42" i="1" s="1"/>
  <c r="Y12" i="1"/>
  <c r="Z12" i="1" s="1"/>
  <c r="Y13" i="1"/>
  <c r="Z13" i="1" s="1"/>
  <c r="Y45" i="1"/>
  <c r="Z45" i="1" s="1"/>
  <c r="Y24" i="1"/>
  <c r="Z24" i="1" s="1"/>
  <c r="Y26" i="1"/>
  <c r="Z26" i="1" s="1"/>
  <c r="Y21" i="1"/>
  <c r="Z21" i="1" s="1"/>
  <c r="Y25" i="1"/>
  <c r="Z25" i="1" s="1"/>
  <c r="Y31" i="1"/>
  <c r="Z31" i="1" s="1"/>
  <c r="Y38" i="1"/>
  <c r="Z38" i="1" s="1"/>
  <c r="T37" i="1"/>
  <c r="V37" i="1"/>
  <c r="AC37" i="1"/>
  <c r="AR37" i="1"/>
  <c r="T34" i="1"/>
  <c r="AC34" i="1"/>
  <c r="AR34" i="1"/>
  <c r="V34" i="1"/>
  <c r="T22" i="1"/>
  <c r="V22" i="1"/>
  <c r="AC22" i="1"/>
  <c r="AR22" i="1"/>
  <c r="Y30" i="1"/>
  <c r="Z30" i="1" s="1"/>
  <c r="Y29" i="1"/>
  <c r="Z29" i="1" s="1"/>
  <c r="Y5" i="1"/>
  <c r="Z5" i="1" s="1"/>
  <c r="Y48" i="1"/>
  <c r="Z48" i="1" s="1"/>
  <c r="Y28" i="1"/>
  <c r="Z28" i="1" s="1"/>
  <c r="Y4" i="1"/>
  <c r="Z4" i="1" s="1"/>
  <c r="Y7" i="1"/>
  <c r="Z7" i="1" s="1"/>
  <c r="Y46" i="1"/>
  <c r="Z46" i="1" s="1"/>
  <c r="Y8" i="1"/>
  <c r="Z8" i="1" s="1"/>
  <c r="Y11" i="1"/>
  <c r="Z11" i="1" s="1"/>
  <c r="Y34" i="1"/>
  <c r="Z34" i="1" s="1"/>
  <c r="Y9" i="1"/>
  <c r="Z9" i="1" s="1"/>
  <c r="Y3" i="1"/>
  <c r="Z3" i="1" s="1"/>
  <c r="Y10" i="1"/>
  <c r="Z10" i="1" s="1"/>
  <c r="Y6" i="1"/>
  <c r="Z6" i="1" s="1"/>
  <c r="T25" i="1"/>
  <c r="AC25" i="1"/>
  <c r="AR25" i="1"/>
  <c r="V25" i="1"/>
  <c r="T13" i="1"/>
  <c r="AR13" i="1"/>
  <c r="AC13" i="1"/>
  <c r="V13" i="1"/>
  <c r="T26" i="1"/>
  <c r="V26" i="1"/>
  <c r="AC26" i="1"/>
  <c r="AR26" i="1"/>
  <c r="Y20" i="1"/>
  <c r="Z20" i="1" s="1"/>
  <c r="Y27" i="1"/>
  <c r="Z27" i="1" s="1"/>
  <c r="Y16" i="1"/>
  <c r="Z16" i="1" s="1"/>
  <c r="Y40" i="1"/>
  <c r="Z40" i="1" s="1"/>
  <c r="Y39" i="1"/>
  <c r="Z39" i="1" s="1"/>
  <c r="Y47" i="1"/>
  <c r="Z47" i="1" s="1"/>
  <c r="Y37" i="1"/>
  <c r="Z37" i="1" s="1"/>
  <c r="Y22" i="1"/>
  <c r="Z22" i="1" s="1"/>
  <c r="Y19" i="1"/>
  <c r="Z19" i="1" s="1"/>
  <c r="Y2" i="1"/>
  <c r="Z2" i="1" s="1"/>
  <c r="Y17" i="1"/>
  <c r="Z17" i="1" s="1"/>
  <c r="Y23" i="1"/>
  <c r="Z23" i="1" s="1"/>
  <c r="T2" i="1"/>
  <c r="AR2" i="1"/>
  <c r="AC2" i="1"/>
  <c r="V2" i="1"/>
  <c r="AC48" i="1"/>
  <c r="AR48" i="1"/>
  <c r="T48" i="1"/>
  <c r="V48" i="1"/>
  <c r="T12" i="1" l="1"/>
  <c r="V12" i="1"/>
  <c r="AR12" i="1"/>
  <c r="AC12" i="1"/>
  <c r="T46" i="1"/>
  <c r="V46" i="1"/>
  <c r="AR46" i="1"/>
  <c r="AC46" i="1"/>
  <c r="T16" i="1"/>
  <c r="V16" i="1"/>
  <c r="AC16" i="1"/>
  <c r="AR16" i="1"/>
  <c r="T5" i="1"/>
  <c r="V5" i="1"/>
  <c r="AC5" i="1"/>
  <c r="AR5" i="1"/>
  <c r="T33" i="1"/>
  <c r="V33" i="1"/>
  <c r="AC33" i="1"/>
  <c r="AR33" i="1"/>
  <c r="T3" i="1"/>
  <c r="AC3" i="1"/>
  <c r="V3" i="1"/>
  <c r="AR3" i="1"/>
  <c r="T19" i="1"/>
  <c r="AR19" i="1"/>
  <c r="V19" i="1"/>
  <c r="AC19" i="1"/>
  <c r="T11" i="1"/>
  <c r="AR11" i="1"/>
  <c r="V11" i="1"/>
  <c r="AC11" i="1"/>
  <c r="T32" i="1"/>
  <c r="V32" i="1"/>
  <c r="AR32" i="1"/>
  <c r="AC32" i="1"/>
  <c r="T40" i="1"/>
  <c r="AR40" i="1"/>
  <c r="AC40" i="1"/>
  <c r="V40" i="1"/>
  <c r="T15" i="1"/>
  <c r="V15" i="1"/>
  <c r="AC15" i="1"/>
  <c r="AR15" i="1"/>
  <c r="T39" i="1"/>
  <c r="AR39" i="1"/>
  <c r="V39" i="1"/>
  <c r="AC39" i="1"/>
  <c r="T10" i="1"/>
  <c r="AR10" i="1"/>
  <c r="V10" i="1"/>
  <c r="AC10" i="1"/>
  <c r="T38" i="1"/>
  <c r="AC38" i="1"/>
  <c r="AR38" i="1"/>
  <c r="V38" i="1"/>
  <c r="T7" i="1"/>
  <c r="V7" i="1"/>
  <c r="AC7" i="1"/>
  <c r="AR7" i="1"/>
  <c r="T35" i="1"/>
  <c r="V35" i="1"/>
  <c r="AR35" i="1"/>
  <c r="AC35" i="1"/>
  <c r="AR43" i="1"/>
  <c r="V43" i="1"/>
  <c r="T43" i="1"/>
  <c r="AC43" i="1"/>
  <c r="T31" i="1"/>
  <c r="AR31" i="1"/>
  <c r="V31" i="1"/>
  <c r="AC31" i="1"/>
  <c r="T17" i="1"/>
  <c r="AR17" i="1"/>
  <c r="V17" i="1"/>
  <c r="AC17" i="1"/>
  <c r="V47" i="1"/>
  <c r="AR47" i="1"/>
  <c r="T47" i="1"/>
  <c r="AC47" i="1"/>
  <c r="T6" i="1"/>
  <c r="V6" i="1"/>
  <c r="AC6" i="1"/>
  <c r="AR6" i="1"/>
  <c r="T29" i="1"/>
  <c r="AR29" i="1"/>
  <c r="V29" i="1"/>
  <c r="AC29" i="1"/>
  <c r="T42" i="1"/>
  <c r="AR42" i="1"/>
  <c r="AC42" i="1"/>
  <c r="V42" i="1"/>
  <c r="T4" i="1"/>
  <c r="AR4" i="1"/>
  <c r="AC4" i="1"/>
  <c r="V4" i="1"/>
  <c r="T23" i="1"/>
  <c r="V23" i="1"/>
  <c r="AC23" i="1"/>
  <c r="AR23" i="1"/>
  <c r="T8" i="1"/>
  <c r="AC8" i="1"/>
  <c r="V8" i="1"/>
  <c r="AR8" i="1"/>
  <c r="T28" i="1"/>
  <c r="V28" i="1"/>
  <c r="AR28" i="1"/>
  <c r="AC28" i="1"/>
  <c r="T14" i="1"/>
  <c r="AC14" i="1"/>
  <c r="V14" i="1"/>
  <c r="AR14" i="1"/>
  <c r="T18" i="1"/>
  <c r="AR18" i="1"/>
  <c r="V18" i="1"/>
  <c r="AC18" i="1"/>
  <c r="AC41" i="1"/>
  <c r="T41" i="1"/>
  <c r="AR41" i="1"/>
  <c r="V41" i="1"/>
  <c r="T36" i="1"/>
  <c r="V36" i="1"/>
  <c r="AC36" i="1"/>
  <c r="AR36" i="1"/>
  <c r="T45" i="1"/>
  <c r="V45" i="1"/>
  <c r="AR45" i="1"/>
  <c r="AC45" i="1"/>
  <c r="T20" i="1"/>
  <c r="AC20" i="1"/>
  <c r="V20" i="1"/>
  <c r="AR20" i="1"/>
  <c r="T9" i="1"/>
  <c r="AC9" i="1"/>
  <c r="AR9" i="1"/>
  <c r="V9" i="1"/>
  <c r="T30" i="1"/>
  <c r="V30" i="1"/>
  <c r="AC30" i="1"/>
  <c r="AR30" i="1"/>
  <c r="V44" i="1"/>
  <c r="T44" i="1"/>
  <c r="AC44" i="1"/>
  <c r="AR4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A6CBC5-DC8A-432A-B0F3-7D42A606A991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6667252-66E0-4528-AFED-FB0276BFF610}" name="WorksheetConnection_Data Izipay.xlsx!Data." type="102" refreshedVersion="7" minRefreshableVersion="5">
    <extLst>
      <ext xmlns:x15="http://schemas.microsoft.com/office/spreadsheetml/2010/11/main" uri="{DE250136-89BD-433C-8126-D09CA5730AF9}">
        <x15:connection id="Data" autoDelete="1">
          <x15:rangePr sourceName="_xlcn.WorksheetConnection_DataIzipay.xlsxData.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<sst xmlns="http://schemas.openxmlformats.org/spreadsheetml/2006/main" count="7045" uniqueCount="1182">
  <si>
    <t>Código</t>
  </si>
  <si>
    <t>Periodo</t>
  </si>
  <si>
    <t>Mes Izipay</t>
  </si>
  <si>
    <t>Fecha de Ingreso</t>
  </si>
  <si>
    <t>Fecha de Instalación</t>
  </si>
  <si>
    <t>Serie</t>
  </si>
  <si>
    <t>Ruc</t>
  </si>
  <si>
    <t>Razón Social</t>
  </si>
  <si>
    <t>Nombre Comercial</t>
  </si>
  <si>
    <t>Estado</t>
  </si>
  <si>
    <t>Estado LT</t>
  </si>
  <si>
    <t>Tipo de Venta</t>
  </si>
  <si>
    <t>Producto</t>
  </si>
  <si>
    <t>Tipo Cliente</t>
  </si>
  <si>
    <t xml:space="preserve">GPV Mensual  </t>
  </si>
  <si>
    <t>GPV Mensual LT</t>
  </si>
  <si>
    <t>Ejecutivo</t>
  </si>
  <si>
    <t>DNI Ejecutivo</t>
  </si>
  <si>
    <t>Correo Ejecutivo</t>
  </si>
  <si>
    <t>Categoría</t>
  </si>
  <si>
    <t>Zona</t>
  </si>
  <si>
    <t>Supervisor</t>
  </si>
  <si>
    <t>Jefatura</t>
  </si>
  <si>
    <t>DNI Supervisor</t>
  </si>
  <si>
    <t>Correo Supervisor</t>
  </si>
  <si>
    <t>DNI Referido</t>
  </si>
  <si>
    <t>Referido</t>
  </si>
  <si>
    <t>CIIU</t>
  </si>
  <si>
    <t>Código DNI</t>
  </si>
  <si>
    <t>Mesa</t>
  </si>
  <si>
    <t>Detalle CIIU</t>
  </si>
  <si>
    <t>CARRION CAVERO LUIS ALBERTO</t>
  </si>
  <si>
    <t>LOS DULCES DE VALE</t>
  </si>
  <si>
    <t>POS</t>
  </si>
  <si>
    <t>Milagros Rocha</t>
  </si>
  <si>
    <t>Carlos Palomino</t>
  </si>
  <si>
    <t>MILAGROS EVELYN ROCHA RODRIGUEZ</t>
  </si>
  <si>
    <t>233WFD870802</t>
  </si>
  <si>
    <t>TJ33261A20815</t>
  </si>
  <si>
    <t>PRB CORPORATION S.R.L.</t>
  </si>
  <si>
    <t>DISCOBAR</t>
  </si>
  <si>
    <t>Jose Mujica</t>
  </si>
  <si>
    <t>Jorge Fuentes</t>
  </si>
  <si>
    <t>JOSE GREGORIO MUJICA RUIZ</t>
  </si>
  <si>
    <t>TJ33261C21711</t>
  </si>
  <si>
    <t>MIAMI IMPORT RM S.A.C.</t>
  </si>
  <si>
    <t>MIAMI IMPORT RM</t>
  </si>
  <si>
    <t>Jackeline Matos</t>
  </si>
  <si>
    <t>Hamm Ramirez</t>
  </si>
  <si>
    <t>JACKELINE SOLANGE MATOS QUIÑONES</t>
  </si>
  <si>
    <t>SERVICIOS GENERALES OPTIMAX E.I.R.L.</t>
  </si>
  <si>
    <t>SERVICIOS GENERALES OPTIMAX (CA TENIENTE FERRE 112 TDA D)</t>
  </si>
  <si>
    <t>Antoni Sifuentes</t>
  </si>
  <si>
    <t>EDINSON WILLIAMS CHUYES ALDANA</t>
  </si>
  <si>
    <t>SERVICIOS GENERALES OPTIMAX (CA ELIAS AGUIRRE 320 TDA 1)</t>
  </si>
  <si>
    <t>SERVICIOS GENERALES OPTIMAX (CA ELIAS AGUIRRE 300 INT A)</t>
  </si>
  <si>
    <t>SERVICIOS GENERALES OPTIMAX (CA ELIAS AGUIRRE 320 TDA 4)</t>
  </si>
  <si>
    <t>SERVICIOS GENERALES OPTIMAX (CA ELIAS AGUIRRE 304-306 INT FONTE)</t>
  </si>
  <si>
    <t>SERVICIOS GENERALES OPTIMAX (CA ELIAS AGUIRRE 306)</t>
  </si>
  <si>
    <t>GARCIA ALAYO CARLOS EDUARDO</t>
  </si>
  <si>
    <t>TJ33261A21090</t>
  </si>
  <si>
    <t>D &amp; C GROUP SOLUTIONS S.A.C.</t>
  </si>
  <si>
    <t>D&amp;C GROUP SOLUTIONS</t>
  </si>
  <si>
    <t>Richard Benites</t>
  </si>
  <si>
    <t>Jean Aguilar</t>
  </si>
  <si>
    <t>RICHARD PABLO BENITES JURADO</t>
  </si>
  <si>
    <t>TJ33261920006</t>
  </si>
  <si>
    <t>DAVALOS GUTIERREZ MIRIAN KARINA</t>
  </si>
  <si>
    <t>Arilustore</t>
  </si>
  <si>
    <t>Jonathan Lavado</t>
  </si>
  <si>
    <t>JONATHAN ALEXANDER LAVADO CADERO</t>
  </si>
  <si>
    <t>TJ33261C21165</t>
  </si>
  <si>
    <t>S. Y M. GRUPO CORPORACION INTERAMERICANA S.A.C.</t>
  </si>
  <si>
    <t>BRANS CHICKEN 1</t>
  </si>
  <si>
    <t>Edinson Chuyes</t>
  </si>
  <si>
    <t>TJ33261C21512</t>
  </si>
  <si>
    <t>BRANS CHICKEN 2</t>
  </si>
  <si>
    <t>TJ33261A20003</t>
  </si>
  <si>
    <t>ANSOF COMPANY S.A.C.S.</t>
  </si>
  <si>
    <t>SAUNA TOKIO</t>
  </si>
  <si>
    <t>Maria Godoy</t>
  </si>
  <si>
    <t>MARIA JOHANA GODOY CRUZ</t>
  </si>
  <si>
    <t>TJ33261A20244</t>
  </si>
  <si>
    <t>TJ33261A21031</t>
  </si>
  <si>
    <t>POLLERIAS B3 S.A.C.</t>
  </si>
  <si>
    <t>POWER GYM</t>
  </si>
  <si>
    <t>Guadalupe Del Pino</t>
  </si>
  <si>
    <t>NELLY GUADALUPE DEL PINO MONDRAGON</t>
  </si>
  <si>
    <t>TJ33261C20699</t>
  </si>
  <si>
    <t>XNOX GROUP S.A.C.S</t>
  </si>
  <si>
    <t>Xnox centro cívico</t>
  </si>
  <si>
    <t>TJ33261A20350</t>
  </si>
  <si>
    <t>VOLCAN CAPITAL S.A.C.S.</t>
  </si>
  <si>
    <t>Xnox alisos</t>
  </si>
  <si>
    <t>TJ33261C20014</t>
  </si>
  <si>
    <t>JB DIVERSIONES SAC</t>
  </si>
  <si>
    <t>AKAFALA KARAOKE</t>
  </si>
  <si>
    <t>Alberto Chaname</t>
  </si>
  <si>
    <t>Jonathan Lapoint</t>
  </si>
  <si>
    <t>ALBERTO LUIGUI ALEXANDER CHANAME CASTRO</t>
  </si>
  <si>
    <t>TJ33261920069</t>
  </si>
  <si>
    <t>ALIMENTOS DEL PEDREGAL S.A.C.</t>
  </si>
  <si>
    <t>Alimentos del Pedregal</t>
  </si>
  <si>
    <t>Leonardo Torres</t>
  </si>
  <si>
    <t>LEONARDO ARTURO TORRES HONORIO</t>
  </si>
  <si>
    <t>TJ33261C20488</t>
  </si>
  <si>
    <t>Xnox naranjal</t>
  </si>
  <si>
    <t>TJ33262720046</t>
  </si>
  <si>
    <t>CORPORACION E INVERSIONES QP E.I.R.L.</t>
  </si>
  <si>
    <t>AMALA VIP SPA</t>
  </si>
  <si>
    <t>giro</t>
  </si>
  <si>
    <t>producto</t>
  </si>
  <si>
    <t>nombco</t>
  </si>
  <si>
    <t>usuario_wunderman</t>
  </si>
  <si>
    <t>DEALER</t>
  </si>
  <si>
    <t>Bodegas, Minimercados</t>
  </si>
  <si>
    <t>IZI andROID max P2SE</t>
  </si>
  <si>
    <t>IZI ANDROID MAX SE FACILI</t>
  </si>
  <si>
    <t>ND0026</t>
  </si>
  <si>
    <t>NEWS</t>
  </si>
  <si>
    <t>IBK PRIVADA</t>
  </si>
  <si>
    <t>LOZA PAY CONNECT</t>
  </si>
  <si>
    <t>LIMA</t>
  </si>
  <si>
    <t>MUJICA RUIZ JOSE GREGORIO</t>
  </si>
  <si>
    <t>Restaurantes</t>
  </si>
  <si>
    <t>ND0023</t>
  </si>
  <si>
    <t>DEL PINO MONDRAGON NELLY GUADALUPE</t>
  </si>
  <si>
    <t>Otras tiendas minoristas</t>
  </si>
  <si>
    <t>ND0032</t>
  </si>
  <si>
    <t>LAVADO CADERO JONATHAN ALEXANDER</t>
  </si>
  <si>
    <t>DNI</t>
  </si>
  <si>
    <t>Categoria</t>
  </si>
  <si>
    <t>Nombre Completo</t>
  </si>
  <si>
    <t>Categoría Izi</t>
  </si>
  <si>
    <t>Fecha Ingreso</t>
  </si>
  <si>
    <t>Correo Electronico</t>
  </si>
  <si>
    <t>Celular</t>
  </si>
  <si>
    <t>Región</t>
  </si>
  <si>
    <t>CompraYa</t>
  </si>
  <si>
    <t>P2 Mini</t>
  </si>
  <si>
    <t>Cuota Q</t>
  </si>
  <si>
    <t>Cuota GPV</t>
  </si>
  <si>
    <t xml:space="preserve">Ejecutivo </t>
  </si>
  <si>
    <t xml:space="preserve">DNI </t>
  </si>
  <si>
    <t>41718975</t>
  </si>
  <si>
    <t>CARLOS EDUARDO PALOMINO VARGAS</t>
  </si>
  <si>
    <t>carlos.palomino@lozapay.com.pe</t>
  </si>
  <si>
    <t>Lima Palomino</t>
  </si>
  <si>
    <t>Activo</t>
  </si>
  <si>
    <t>SUPERVISOR</t>
  </si>
  <si>
    <t>41419651</t>
  </si>
  <si>
    <t>Giuliana Hereña</t>
  </si>
  <si>
    <t>Senior</t>
  </si>
  <si>
    <t>GIULIANA HEREÑA DA SILVA</t>
  </si>
  <si>
    <t>Hunter</t>
  </si>
  <si>
    <t>giuliana.herena@lozapay.com.pe</t>
  </si>
  <si>
    <t>ND0011</t>
  </si>
  <si>
    <t>PN0621BP40668</t>
  </si>
  <si>
    <t>76524006</t>
  </si>
  <si>
    <t>Jorge Jaimes</t>
  </si>
  <si>
    <t>JORGE LUIS JAIMES BARROSO</t>
  </si>
  <si>
    <t>jjaimesb@lozapay.com.pe</t>
  </si>
  <si>
    <t>ND0019</t>
  </si>
  <si>
    <t>PN80238F30250</t>
  </si>
  <si>
    <t>72895762</t>
  </si>
  <si>
    <t>leonardo.honorio@lozapay.com.pe</t>
  </si>
  <si>
    <t>ND0001</t>
  </si>
  <si>
    <t>PN0421BJ41076</t>
  </si>
  <si>
    <t>47547332</t>
  </si>
  <si>
    <t>Luis Vila</t>
  </si>
  <si>
    <t>Elite</t>
  </si>
  <si>
    <t>LUIS FERNANDO VILA HUAMAN</t>
  </si>
  <si>
    <t>luis.vila@lozapay.com.pe</t>
  </si>
  <si>
    <t>46998250</t>
  </si>
  <si>
    <t>mgodoyc@lozapay.com.pe</t>
  </si>
  <si>
    <t>ND0002</t>
  </si>
  <si>
    <t>PN06214M20767</t>
  </si>
  <si>
    <t>43661391</t>
  </si>
  <si>
    <t>mrochar@lozapay.com.pe</t>
  </si>
  <si>
    <t>ND0003</t>
  </si>
  <si>
    <t>PN14225941954</t>
  </si>
  <si>
    <t>08694541</t>
  </si>
  <si>
    <t>Rildo Mendoza</t>
  </si>
  <si>
    <t>RILDO MARTIN MENDOZA JARA</t>
  </si>
  <si>
    <t>FFVV</t>
  </si>
  <si>
    <t>rildo.mendoza@lozapay.com.pe</t>
  </si>
  <si>
    <t>ND0040</t>
  </si>
  <si>
    <t>PN80239930621</t>
  </si>
  <si>
    <t>40463169</t>
  </si>
  <si>
    <t>Yessica Ruiz</t>
  </si>
  <si>
    <t>YESSICA YVON RUIZ BAUTISTA</t>
  </si>
  <si>
    <t>yessica.ruiz@lozapay.com.pe</t>
  </si>
  <si>
    <t>ND0014</t>
  </si>
  <si>
    <t>PN80239E30053</t>
  </si>
  <si>
    <t>44818200</t>
  </si>
  <si>
    <t>WILMER HAMMERLY RAMIREZ POMA</t>
  </si>
  <si>
    <t>hramirezp@lozapay.com.pe</t>
  </si>
  <si>
    <t>Lima Hamm</t>
  </si>
  <si>
    <t>44881019</t>
  </si>
  <si>
    <t>jackeline.matos@lozapay.com.pe</t>
  </si>
  <si>
    <t>ND0013</t>
  </si>
  <si>
    <t>PN80238230144</t>
  </si>
  <si>
    <t>77042102</t>
  </si>
  <si>
    <t>Luigi Castillo</t>
  </si>
  <si>
    <t>CESAR PIEERLUIGI CASTILLO PEREZ</t>
  </si>
  <si>
    <t>cesar.perez@lozapay.com.pe</t>
  </si>
  <si>
    <t>FALTA</t>
  </si>
  <si>
    <t>40610358</t>
  </si>
  <si>
    <t>Nestor Jarama</t>
  </si>
  <si>
    <t>NESTOR RAUL JARAMA REATEGUI</t>
  </si>
  <si>
    <t>najaramar@lozapay.com.pe</t>
  </si>
  <si>
    <t>ND0021</t>
  </si>
  <si>
    <t>PN0621BR40824</t>
  </si>
  <si>
    <t>47688341</t>
  </si>
  <si>
    <t>JEAN CARLOS AGUILAR RAMOS</t>
  </si>
  <si>
    <t>jaguilar@lozapay.com.pe</t>
  </si>
  <si>
    <t>Lima Jean</t>
  </si>
  <si>
    <t>46741483</t>
  </si>
  <si>
    <t>Angelo Zavala</t>
  </si>
  <si>
    <t>ANGELO JESUS ZAVALA ANICAMA</t>
  </si>
  <si>
    <t>azavalaa@lozapay.com.pe</t>
  </si>
  <si>
    <t>ND0010</t>
  </si>
  <si>
    <t>PN14229631508</t>
  </si>
  <si>
    <t>45311691</t>
  </si>
  <si>
    <t>edinson.chuyes@lozapay.com.pe</t>
  </si>
  <si>
    <t>ND0004</t>
  </si>
  <si>
    <t>PN80236E31787</t>
  </si>
  <si>
    <t>77016095</t>
  </si>
  <si>
    <t>nelly.delpino@lozapay.com.pe</t>
  </si>
  <si>
    <t>PN80239C31145</t>
  </si>
  <si>
    <t>41309076</t>
  </si>
  <si>
    <t>jonathan.lavado@lozapay.com.pe</t>
  </si>
  <si>
    <t>PN1421AF41036</t>
  </si>
  <si>
    <t>70151010</t>
  </si>
  <si>
    <t>richard.benites@lozapay.com.pe</t>
  </si>
  <si>
    <t>ND0005</t>
  </si>
  <si>
    <t>PN14229631797</t>
  </si>
  <si>
    <t>70430554</t>
  </si>
  <si>
    <t>JONATHAN ALEXANDER LAPOINT PORTILLA</t>
  </si>
  <si>
    <t>jlapointp@lozapay.com.pe</t>
  </si>
  <si>
    <t>CHICLAYO</t>
  </si>
  <si>
    <t>Norte Lapoint</t>
  </si>
  <si>
    <t>76032645</t>
  </si>
  <si>
    <t>alberto.chaname@lozapay.com.pe</t>
  </si>
  <si>
    <t>ND0008</t>
  </si>
  <si>
    <t>PN04219D40090</t>
  </si>
  <si>
    <t>42368700</t>
  </si>
  <si>
    <t>Billy Villacrez</t>
  </si>
  <si>
    <t>BILLY JIM VILLACREZ GARAY</t>
  </si>
  <si>
    <t>billy.villacrez@lozapay.com.pe</t>
  </si>
  <si>
    <t>ND0036</t>
  </si>
  <si>
    <t>PN14224M41780</t>
  </si>
  <si>
    <t>74651895</t>
  </si>
  <si>
    <t>Carlos Effio</t>
  </si>
  <si>
    <t>CARLOS GIUSSEPPE EFFIO CHIMOY</t>
  </si>
  <si>
    <t>carlos.effio@lozapay.com.pe</t>
  </si>
  <si>
    <t>ND0037</t>
  </si>
  <si>
    <t>74065646</t>
  </si>
  <si>
    <t>Claudia Negrete</t>
  </si>
  <si>
    <t>CLAUDIA FERNANDA NEGRETE VARGAS</t>
  </si>
  <si>
    <t>claudia.negrete@lozapay.com.pe</t>
  </si>
  <si>
    <t>PIURA</t>
  </si>
  <si>
    <t>ND0041</t>
  </si>
  <si>
    <t>PN14229631201</t>
  </si>
  <si>
    <t>72641569</t>
  </si>
  <si>
    <t>Katherine Zuloeta</t>
  </si>
  <si>
    <t>KATHERINE DEL CARMEN ZULOETA MALCA</t>
  </si>
  <si>
    <t>katherine.zuloeta@lozapay.com.pe</t>
  </si>
  <si>
    <t>ND0033</t>
  </si>
  <si>
    <t>PN14213Q21808</t>
  </si>
  <si>
    <t>00100436</t>
  </si>
  <si>
    <t>Lin Ley Casique</t>
  </si>
  <si>
    <t>LIN LEY CASIQUE MELENA</t>
  </si>
  <si>
    <t>Linley.casique@lozapay.com.pe</t>
  </si>
  <si>
    <t>PUCALLPA</t>
  </si>
  <si>
    <t>ND0034</t>
  </si>
  <si>
    <t>PN06221A41712</t>
  </si>
  <si>
    <t>42858532</t>
  </si>
  <si>
    <t>Marlon Martinez</t>
  </si>
  <si>
    <t>MARLON ERICK MARTINEZ VALDERRAMA</t>
  </si>
  <si>
    <t>marlon.martinez@lozapay.com.pe</t>
  </si>
  <si>
    <t>ND0035</t>
  </si>
  <si>
    <t>PN80236G30963</t>
  </si>
  <si>
    <t>71870286</t>
  </si>
  <si>
    <t>William Cortez</t>
  </si>
  <si>
    <t>WILLIAM OMAR CORTEZ PARRILLA</t>
  </si>
  <si>
    <t>william.cortez@lozapay.com.pe</t>
  </si>
  <si>
    <t>ND0038</t>
  </si>
  <si>
    <t>PN0621AU41433</t>
  </si>
  <si>
    <t>70059865</t>
  </si>
  <si>
    <t>JORGE LUIS FUENTES RODRIGUEZ</t>
  </si>
  <si>
    <t>jfuentes@lozapay.com.pe</t>
  </si>
  <si>
    <t>TRUJILLO</t>
  </si>
  <si>
    <t>Norte Fuentes</t>
  </si>
  <si>
    <t>47045287</t>
  </si>
  <si>
    <t>ANTONI AMNER SIFUENTES ULLOA</t>
  </si>
  <si>
    <t>asifuentesu@lozapay.com.pe</t>
  </si>
  <si>
    <t>ND0007</t>
  </si>
  <si>
    <t>PN80238431092</t>
  </si>
  <si>
    <t>002409208</t>
  </si>
  <si>
    <t>jose.mujica@lozapay.com.pe</t>
  </si>
  <si>
    <t>PN06216A21813</t>
  </si>
  <si>
    <t>45524794</t>
  </si>
  <si>
    <t>Jose Ruiz</t>
  </si>
  <si>
    <t>JOSE EDUARDO RUIZ MARTINEZ</t>
  </si>
  <si>
    <t>jose.ruiz@lozapay.com.pe</t>
  </si>
  <si>
    <t>77477883</t>
  </si>
  <si>
    <t>Junior Henriquez</t>
  </si>
  <si>
    <t>JUNIOR ALEXANDER HENRIQUEZ HONORES</t>
  </si>
  <si>
    <t>junior.henriquez@lozapay.com.pe</t>
  </si>
  <si>
    <t>ND0027</t>
  </si>
  <si>
    <t>PN04219J40073</t>
  </si>
  <si>
    <t>74961151</t>
  </si>
  <si>
    <t>Manuel Avalos</t>
  </si>
  <si>
    <t>MANUEL JOSE AVALOS RUIZ</t>
  </si>
  <si>
    <t>manuel.avalos@lozapay.com.pe</t>
  </si>
  <si>
    <t>ND0028</t>
  </si>
  <si>
    <t>PN14229830242</t>
  </si>
  <si>
    <t>75167462</t>
  </si>
  <si>
    <t>Milagros Zuniga</t>
  </si>
  <si>
    <t>MILAGROS STEFANY ZUNIGA TEJEDA</t>
  </si>
  <si>
    <t>milagros.zuniga@lozapay.com.pe</t>
  </si>
  <si>
    <t>CAJAMARCA</t>
  </si>
  <si>
    <t>ND0029</t>
  </si>
  <si>
    <t>PN14229630756</t>
  </si>
  <si>
    <t>70800152</t>
  </si>
  <si>
    <t>Nelson Deza</t>
  </si>
  <si>
    <t>NELSON JESUS DEZA FARRO</t>
  </si>
  <si>
    <t>nelson.deza@lozapay.com.pe</t>
  </si>
  <si>
    <t>ND0030</t>
  </si>
  <si>
    <t>PN14229730793</t>
  </si>
  <si>
    <t>46174504</t>
  </si>
  <si>
    <t>Francis Portuguez</t>
  </si>
  <si>
    <t>ELIZABETH FRANCIS PORTUGUEZ PALLARDELLY</t>
  </si>
  <si>
    <t>epallardelly@lozapay.com.pe</t>
  </si>
  <si>
    <t>Lima</t>
  </si>
  <si>
    <t>ND0012</t>
  </si>
  <si>
    <t>PN80238A30295</t>
  </si>
  <si>
    <t>80238587</t>
  </si>
  <si>
    <t>Gloria Pallardelly</t>
  </si>
  <si>
    <t>GLORIA MARIBEL PALLARDELLY DIAZ</t>
  </si>
  <si>
    <t>gloria.pallardelly@lozapay.com.pe</t>
  </si>
  <si>
    <t>ND0020</t>
  </si>
  <si>
    <t>PN80238330723</t>
  </si>
  <si>
    <t>45983791</t>
  </si>
  <si>
    <t>Luis Hurtado</t>
  </si>
  <si>
    <t>LUIS MIGUEL HURTADO MUNOZ</t>
  </si>
  <si>
    <t>luis.hurtado@lozapay.com.pe</t>
  </si>
  <si>
    <t>ND0022</t>
  </si>
  <si>
    <t>PN0621AT41735</t>
  </si>
  <si>
    <t>80229574</t>
  </si>
  <si>
    <t>Maria Pallardelly</t>
  </si>
  <si>
    <t>MARIA LUISA PALLARDELLY DIAZ</t>
  </si>
  <si>
    <t>maria.lozano@lozapay.com.pe</t>
  </si>
  <si>
    <t>ND0024</t>
  </si>
  <si>
    <t>PN0621BL41345</t>
  </si>
  <si>
    <t>71311532</t>
  </si>
  <si>
    <t>Roberto Ayllon</t>
  </si>
  <si>
    <t>ROBERTO MAHONRI AYLLON ZUMAETA</t>
  </si>
  <si>
    <t>roberto.ayllon@lozapay.com.pe</t>
  </si>
  <si>
    <t>ND0025</t>
  </si>
  <si>
    <t>PN80239831593</t>
  </si>
  <si>
    <t>Mesa 1 Hunter</t>
  </si>
  <si>
    <t>Segundos</t>
  </si>
  <si>
    <t>Kill Minuto</t>
  </si>
  <si>
    <t>Horas</t>
  </si>
  <si>
    <t>Enemigos</t>
  </si>
  <si>
    <t>Mesa 2 FFVV</t>
  </si>
  <si>
    <t>Mesa 3 FFVV</t>
  </si>
  <si>
    <t xml:space="preserve">nelly.delpino@lozapay.com.pe </t>
  </si>
  <si>
    <t>Mesa 4 FFVV</t>
  </si>
  <si>
    <t>Mesa 5 FFVV</t>
  </si>
  <si>
    <t>P3F3T250718004646</t>
  </si>
  <si>
    <t>Costo Cero</t>
  </si>
  <si>
    <t>codigo</t>
  </si>
  <si>
    <t>situac</t>
  </si>
  <si>
    <t>nroruc</t>
  </si>
  <si>
    <t>adicional/nuevo colocado</t>
  </si>
  <si>
    <t>cta_esp</t>
  </si>
  <si>
    <t>nomcom</t>
  </si>
  <si>
    <t>razsoc</t>
  </si>
  <si>
    <t>moneda</t>
  </si>
  <si>
    <t>mcc</t>
  </si>
  <si>
    <t>dire</t>
  </si>
  <si>
    <t>dist</t>
  </si>
  <si>
    <t>prov</t>
  </si>
  <si>
    <t>dpto</t>
  </si>
  <si>
    <t>region</t>
  </si>
  <si>
    <t>lima/provincia</t>
  </si>
  <si>
    <t>zona</t>
  </si>
  <si>
    <t>fecape</t>
  </si>
  <si>
    <t>tipodoc</t>
  </si>
  <si>
    <t>nrocta</t>
  </si>
  <si>
    <t>telefono</t>
  </si>
  <si>
    <t>tip com</t>
  </si>
  <si>
    <t>nro de serie</t>
  </si>
  <si>
    <t>ruc20/ruc10/dni</t>
  </si>
  <si>
    <t>código dealer</t>
  </si>
  <si>
    <t>Dealer</t>
  </si>
  <si>
    <t>código ejecutivo</t>
  </si>
  <si>
    <t>dealer_eje_homologado</t>
  </si>
  <si>
    <t>bloqueado</t>
  </si>
  <si>
    <t>oficina satelital</t>
  </si>
  <si>
    <t>respcta</t>
  </si>
  <si>
    <t>respcta_nomb</t>
  </si>
  <si>
    <t>nivel_1</t>
  </si>
  <si>
    <t>nivel_2</t>
  </si>
  <si>
    <t>nivel_2_resp</t>
  </si>
  <si>
    <t>nivel_3</t>
  </si>
  <si>
    <t>nivel_3_resp</t>
  </si>
  <si>
    <t>nivel_4</t>
  </si>
  <si>
    <t>nivel_5</t>
  </si>
  <si>
    <t>kam_nivel_2</t>
  </si>
  <si>
    <t>kam</t>
  </si>
  <si>
    <t>canal</t>
  </si>
  <si>
    <t>subcanal</t>
  </si>
  <si>
    <t>vol prom 3m anteriores x cta</t>
  </si>
  <si>
    <t>vol liquidable prom 3m anteriores x cta</t>
  </si>
  <si>
    <t>datos_codigo_antiguo</t>
  </si>
  <si>
    <t>datos_codigo_nuevo</t>
  </si>
  <si>
    <t>tipo_cde</t>
  </si>
  <si>
    <t>x</t>
  </si>
  <si>
    <t>vol total ruc</t>
  </si>
  <si>
    <t>vol liquidable total ruc</t>
  </si>
  <si>
    <t>vol cosecha nueva</t>
  </si>
  <si>
    <t>vol liquidable cosecha nueva</t>
  </si>
  <si>
    <t>factor x codigo</t>
  </si>
  <si>
    <t>factor liquidable x codigo</t>
  </si>
  <si>
    <t>segmento</t>
  </si>
  <si>
    <t>banca_ibk</t>
  </si>
  <si>
    <t>subbanca_ibk</t>
  </si>
  <si>
    <t>periodo_x</t>
  </si>
  <si>
    <t>periodo_y</t>
  </si>
  <si>
    <t>Total Liquidable QR</t>
  </si>
  <si>
    <t>Liquidable QR</t>
  </si>
  <si>
    <t>Liquidable no QR</t>
  </si>
  <si>
    <t>N</t>
  </si>
  <si>
    <t>IZI*BRANS CHICKEN 2</t>
  </si>
  <si>
    <t>S. Y M. Grupo Corporacion Interamericana S.A.C.</t>
  </si>
  <si>
    <t>SOLES</t>
  </si>
  <si>
    <t>Supermercados</t>
  </si>
  <si>
    <t>SIMON BOLIVAR 1389</t>
  </si>
  <si>
    <t>PUEBLO LIBRE</t>
  </si>
  <si>
    <t>LIMA METROPOL CALLAO</t>
  </si>
  <si>
    <t>REF Cruce con jiron Ramon piz</t>
  </si>
  <si>
    <t>RUC20</t>
  </si>
  <si>
    <t>20</t>
  </si>
  <si>
    <t>ND</t>
  </si>
  <si>
    <t>CHUNGA PERICHE RAUL ENRIQUE</t>
  </si>
  <si>
    <t>RAUL CHUNGA</t>
  </si>
  <si>
    <t>CHUYES ALDANA EDINSON WILLIAMS</t>
  </si>
  <si>
    <t>-</t>
  </si>
  <si>
    <t>E</t>
  </si>
  <si>
    <t>IZI*DISCOBAR 1</t>
  </si>
  <si>
    <t>PEDRO COCHACHIN 1420</t>
  </si>
  <si>
    <t>HUARAZ</t>
  </si>
  <si>
    <t>ANCASH</t>
  </si>
  <si>
    <t>PROVINCIA</t>
  </si>
  <si>
    <t>REF</t>
  </si>
  <si>
    <t>C:1649825 - F.A:20140725</t>
  </si>
  <si>
    <t>C:5490692 - F.A:20230613</t>
  </si>
  <si>
    <t>BPE</t>
  </si>
  <si>
    <t>IZI*SAUNA TOKIO</t>
  </si>
  <si>
    <t>INMOBILIARIAS CONTRATISTAS GENERALES</t>
  </si>
  <si>
    <t>JOSE BERNARDO ALCEDO 230</t>
  </si>
  <si>
    <t>LINCE</t>
  </si>
  <si>
    <t>REF CON AV PETIT THOUARS</t>
  </si>
  <si>
    <t>GODOY CRUZ MARIA JOHANA</t>
  </si>
  <si>
    <t>C:5679423 - F.A:20240611</t>
  </si>
  <si>
    <t>C:5688961 - F.A:20240628</t>
  </si>
  <si>
    <t>LA MARINA 2500</t>
  </si>
  <si>
    <t>SAN MIGUEL</t>
  </si>
  <si>
    <t>REF DENTRO DEL SUPERMERCADO ME</t>
  </si>
  <si>
    <t>POS Fisico</t>
  </si>
  <si>
    <t>RUC10</t>
  </si>
  <si>
    <t>X</t>
  </si>
  <si>
    <t>10</t>
  </si>
  <si>
    <t>ROCHA RODRIGUEZ MILAGROS EVELYN</t>
  </si>
  <si>
    <t>C:8743311 - F.A:20210315</t>
  </si>
  <si>
    <t>C:5181315 - F.A:20220927</t>
  </si>
  <si>
    <t>RETAIL</t>
  </si>
  <si>
    <t>IZI*POWER GYM</t>
  </si>
  <si>
    <t>Pollerias B3 S.A.C.</t>
  </si>
  <si>
    <t>LOS NOGALES 455</t>
  </si>
  <si>
    <t>SANTA ANITA</t>
  </si>
  <si>
    <t>REF FRENTE AL CONDOMINIO LOS</t>
  </si>
  <si>
    <t>IZI*DYC GROUP SOLUTIONS</t>
  </si>
  <si>
    <t>D Y C Group Solutions S.A.C.</t>
  </si>
  <si>
    <t>2 SN  O 34   O</t>
  </si>
  <si>
    <t>CALLAO</t>
  </si>
  <si>
    <t>REF A una cuadra del colegio</t>
  </si>
  <si>
    <t>.INTERBANK</t>
  </si>
  <si>
    <t>BENITES JURADO RICHARD PABLO</t>
  </si>
  <si>
    <t>SERVICIOS GENERALES OPTIMAX</t>
  </si>
  <si>
    <t>SERVICIOS GENERALES OPTIMAX EIRL</t>
  </si>
  <si>
    <t>TENIENTE FERRE 112 TDA D</t>
  </si>
  <si>
    <t>MIRAFLORES</t>
  </si>
  <si>
    <t>AREQUIPA</t>
  </si>
  <si>
    <t>REF AL COSTADO DE INKAFARMA</t>
  </si>
  <si>
    <t>BCP</t>
  </si>
  <si>
    <t>IZI*XNOX CENTRO CIVICO</t>
  </si>
  <si>
    <t>28 DE JULIO 1032</t>
  </si>
  <si>
    <t>REF FRENTE AL PARQUE DE LA EX</t>
  </si>
  <si>
    <t>C:5817704 - F.A:20250404</t>
  </si>
  <si>
    <t>C:5818437 - F.A:20250407</t>
  </si>
  <si>
    <t>IZI*ARILUSTORE</t>
  </si>
  <si>
    <t>TEODORO VALCARCEL 121</t>
  </si>
  <si>
    <t>SANTIAGO DE SURCO</t>
  </si>
  <si>
    <t>REF POLVOS ROSADOS</t>
  </si>
  <si>
    <t>C:5302409 - F.A:20221215</t>
  </si>
  <si>
    <t>OTRAS BANCAS</t>
  </si>
  <si>
    <t>REF Cerca al colegio Fe alegr</t>
  </si>
  <si>
    <t>IZI*BRANS CHICKEN 1</t>
  </si>
  <si>
    <t>IZI*XNOX ALISOS</t>
  </si>
  <si>
    <t>LOS ALISOS 551</t>
  </si>
  <si>
    <t>LOS OLIVOS</t>
  </si>
  <si>
    <t>REF OVALO ALISOS</t>
  </si>
  <si>
    <t>C:5760139 - F.A:20241122</t>
  </si>
  <si>
    <t>C:5760769 - F.A:20241123</t>
  </si>
  <si>
    <t>ELIAS AGUIRRE 320 TDA 1</t>
  </si>
  <si>
    <t>ELIAS AGUIRRE 300 INT A</t>
  </si>
  <si>
    <t>ELIAS AGUIRRE 320 TDA 4</t>
  </si>
  <si>
    <t>ELIAS AGUIRRE 304-306 INT FONTE</t>
  </si>
  <si>
    <t>ELIAS AGUIRRE 306</t>
  </si>
  <si>
    <t>MIGUELASHOS S</t>
  </si>
  <si>
    <t>TUPAC AMARU 469</t>
  </si>
  <si>
    <t>EL PORVENIR</t>
  </si>
  <si>
    <t>LA LIBERTAD</t>
  </si>
  <si>
    <t>REF FRENTE AL COLEGIO SANTA RI</t>
  </si>
  <si>
    <t>SBP</t>
  </si>
  <si>
    <t>C:8706000 - F.A:20210129</t>
  </si>
  <si>
    <t>IZI*XNOX NARANJAL</t>
  </si>
  <si>
    <t>EL NARANJAL 1406</t>
  </si>
  <si>
    <t>REF CON AVENIDA HUAYLAS</t>
  </si>
  <si>
    <t>IZI*ALIMENTOS DEL PEDREGAL</t>
  </si>
  <si>
    <t>Alimentos Del Pedregal SAC</t>
  </si>
  <si>
    <t>Bienes perecederos no clasifi.</t>
  </si>
  <si>
    <t>ARGENTINA 3093</t>
  </si>
  <si>
    <t>MARCELO HERRERA CARBAJAL</t>
  </si>
  <si>
    <t>TORRES HONORIO LEONARDO ARTURO</t>
  </si>
  <si>
    <t>IZI*AKAFALA KARAOKE</t>
  </si>
  <si>
    <t>JOSE BALTA 233</t>
  </si>
  <si>
    <t>LAMBAYEQUE</t>
  </si>
  <si>
    <t>REF 3 CUADRAS DE LAS MUSAS</t>
  </si>
  <si>
    <t>CHANAME CASTRO ALBERTO LUIGUI ALEXANDER</t>
  </si>
  <si>
    <t>C:1627767 - F.A:20140521</t>
  </si>
  <si>
    <t>C:5466712 - F.A:20230511</t>
  </si>
  <si>
    <t>Ejecutivo C</t>
  </si>
  <si>
    <t>DNI C</t>
  </si>
  <si>
    <t>TJ33261A20218</t>
  </si>
  <si>
    <t>CUBAS MANRIQUE VDA DE LAPOINT MARTHA ELENA</t>
  </si>
  <si>
    <t>MAISON VOS</t>
  </si>
  <si>
    <t>TJ33261C21266</t>
  </si>
  <si>
    <t>MUNDACA INGA KARINA STEFANI</t>
  </si>
  <si>
    <t>KARINA MUNDACA</t>
  </si>
  <si>
    <t>CIMDOLOR PERU S.A.C.</t>
  </si>
  <si>
    <t>CIMDOLOR PERU SAC</t>
  </si>
  <si>
    <t>CORPORACION LOBAL S.A.C.</t>
  </si>
  <si>
    <t>LIGA SPORT</t>
  </si>
  <si>
    <t>UNIVERSIDAD CATOLICA LOS ANGELES DE CHIMBOTE</t>
  </si>
  <si>
    <t>ULADECH CATOLICA</t>
  </si>
  <si>
    <t>PAGO WEB</t>
  </si>
  <si>
    <t>Mes</t>
  </si>
  <si>
    <t>GROALPERU E.I.R.L.</t>
  </si>
  <si>
    <t>New Support (LA VICTORIA)</t>
  </si>
  <si>
    <t>New Support (SANTA ANITA)</t>
  </si>
  <si>
    <t>Total general</t>
  </si>
  <si>
    <t>Q Ruc</t>
  </si>
  <si>
    <t>Q Pos</t>
  </si>
  <si>
    <t>Ruc Activo</t>
  </si>
  <si>
    <t>Ruc Act</t>
  </si>
  <si>
    <t>Día</t>
  </si>
  <si>
    <t>Ejecutivos</t>
  </si>
  <si>
    <t>Cuotas Enero Super- Marzo</t>
  </si>
  <si>
    <t>Cuota Ruc</t>
  </si>
  <si>
    <t>Cuotas Enero - Marzo</t>
  </si>
  <si>
    <t>Umbral GPV</t>
  </si>
  <si>
    <t>UNIFORMES Y ROPA COMERCIAL PARA HOMBRES, MUJERES Y NIÑOS2</t>
  </si>
  <si>
    <t>SAN JUAN 603</t>
  </si>
  <si>
    <t>SAN LUIS</t>
  </si>
  <si>
    <t>REF ENTRE AV AVIACION Y AV SAN</t>
  </si>
  <si>
    <t>MATOS QUINONES JACKELINE SOLANGE</t>
  </si>
  <si>
    <t>MIAMI IMPORT RM SAC</t>
  </si>
  <si>
    <t>Repuestos y accesorios</t>
  </si>
  <si>
    <t>JOSE LARCO 103 INT 307</t>
  </si>
  <si>
    <t>REF TORRE LARCO</t>
  </si>
  <si>
    <t>IZI*KARINA MUNDACA</t>
  </si>
  <si>
    <t>Mundaca Inga Karina Stefani</t>
  </si>
  <si>
    <t>Peluquerias</t>
  </si>
  <si>
    <t>SIN NOMBRE SN  G 10   G</t>
  </si>
  <si>
    <t>POMALCA</t>
  </si>
  <si>
    <t>REF Pasando el estadio</t>
  </si>
  <si>
    <t>MARTINEZ VALDERRAMA MARLON ERICK</t>
  </si>
  <si>
    <t>IZI*MAISON VOS</t>
  </si>
  <si>
    <t>Cubas Manrique Martha Elena</t>
  </si>
  <si>
    <t>Zapaterias</t>
  </si>
  <si>
    <t>MONTE CASINO 127</t>
  </si>
  <si>
    <t>REF a media cuadra de Vivanco</t>
  </si>
  <si>
    <t>ZULOETA MALCA KATHERINE DEL CARMEN</t>
  </si>
  <si>
    <t>IZI*AMALA VIP SPA</t>
  </si>
  <si>
    <t>Corporacion E Inversiones Qp E.I.R.L.</t>
  </si>
  <si>
    <t>SIN NOMBRE SN  G 01   G</t>
  </si>
  <si>
    <t>LA VICTORIA</t>
  </si>
  <si>
    <t>REF Cerca al JOCKEY CLUB</t>
  </si>
  <si>
    <t>EFFIO CHIMOY CARLOS GIUSSEPPE</t>
  </si>
  <si>
    <t>CHARAPO REPUESTOS &amp; AUTOPARTES E.I.R.L.</t>
  </si>
  <si>
    <t>CHARAPO REPUESTOS &amp; AUTOPARTES</t>
  </si>
  <si>
    <t>TJ33261C20847</t>
  </si>
  <si>
    <t>DEA CARINA S.A.C.</t>
  </si>
  <si>
    <t>TIZZA REAL</t>
  </si>
  <si>
    <t>TJ33262720033</t>
  </si>
  <si>
    <t>TIZZA AREQUIPA</t>
  </si>
  <si>
    <t>TJ33261C21178</t>
  </si>
  <si>
    <t>EL HORNITO BAKERY S.A.C.</t>
  </si>
  <si>
    <t>HORNITO BAKERY</t>
  </si>
  <si>
    <t>TJ33262820241</t>
  </si>
  <si>
    <t>FAVIPESA S.A.C.</t>
  </si>
  <si>
    <t>VICTORIA MARKT</t>
  </si>
  <si>
    <t>TJ33261D20026</t>
  </si>
  <si>
    <t>PARLANTE</t>
  </si>
  <si>
    <t>Junio</t>
  </si>
  <si>
    <t>Julio</t>
  </si>
  <si>
    <t>Agosto</t>
  </si>
  <si>
    <t>Mayo M1</t>
  </si>
  <si>
    <t>Junio M0</t>
  </si>
  <si>
    <t>EUROSPORT AUTOMOTRIZ S.A.C.</t>
  </si>
  <si>
    <t>EUROSPORT</t>
  </si>
  <si>
    <t>TJ33261C21730</t>
  </si>
  <si>
    <t>SIX NAVARRO INVERSIONES E.I.R.L.</t>
  </si>
  <si>
    <t>SIX KARAOKE</t>
  </si>
  <si>
    <t>TJ33261A20349</t>
  </si>
  <si>
    <t>CASTAÑEDA MARAVI PAMELA DEL PILAR</t>
  </si>
  <si>
    <t>Market San Roque</t>
  </si>
  <si>
    <t>IZI*HORNITO BAKERY</t>
  </si>
  <si>
    <t>EL HORNITO BAKERY</t>
  </si>
  <si>
    <t>Panaderias, Pastelerias, CAFETERIAS</t>
  </si>
  <si>
    <t>JUNIN 261</t>
  </si>
  <si>
    <t>JAEN</t>
  </si>
  <si>
    <t>REF ESQUINA DE JUNIN CON AYAC</t>
  </si>
  <si>
    <t>ZUNIGA TEJEDA MILAGROS STEFANY</t>
  </si>
  <si>
    <t>C:900000746 - F.A:20260129</t>
  </si>
  <si>
    <t>Hospitales, clinicas</t>
  </si>
  <si>
    <t>CAMINOS DEL INKA 1169</t>
  </si>
  <si>
    <t>URB LAS GARDENIAS</t>
  </si>
  <si>
    <t>HERENA DA SILVA GIULIANA</t>
  </si>
  <si>
    <t>ADDS</t>
  </si>
  <si>
    <t>NEW SUPPORT</t>
  </si>
  <si>
    <t>GROALPERU EIRL</t>
  </si>
  <si>
    <t>MARISCAL AGUSTIN GAMARRA 1275 INT SS008</t>
  </si>
  <si>
    <t>CC GAMA CRUCE MEXICO Y AVIACIO</t>
  </si>
  <si>
    <t>C:5151351 - F.A:20220907</t>
  </si>
  <si>
    <t>C:9887944 - F.A:20250125</t>
  </si>
  <si>
    <t>CENTRAL 111</t>
  </si>
  <si>
    <t>CC SANTA ANITA CRUCE AYLLON</t>
  </si>
  <si>
    <t>IZI*TIZZA REAL</t>
  </si>
  <si>
    <t>LOS CEREZOS 104</t>
  </si>
  <si>
    <t>CAYMA</t>
  </si>
  <si>
    <t>REF AL COSTADO DEL HOTEL LA C</t>
  </si>
  <si>
    <t>C:1016617 - F.A:20181214</t>
  </si>
  <si>
    <t>C:1030708 - F.A:20191212</t>
  </si>
  <si>
    <t>IZI*CHARAPO REPUESTOS</t>
  </si>
  <si>
    <t>JUAN BUENDIA 520</t>
  </si>
  <si>
    <t>REF ALT MAESTRO HOME CENTER</t>
  </si>
  <si>
    <t>IZI APP</t>
  </si>
  <si>
    <t>IZIPAY APP + SPEAKER</t>
  </si>
  <si>
    <t>00080290684</t>
  </si>
  <si>
    <t>C:1020640 - F.A:20190306</t>
  </si>
  <si>
    <t>C:5733810 - F.A:20240926</t>
  </si>
  <si>
    <t>IZI*VICTORIA MARKT</t>
  </si>
  <si>
    <t>FAVIPESA SAC</t>
  </si>
  <si>
    <t>SIMON SALGUERO 549</t>
  </si>
  <si>
    <t>REF Al lado de oxxo de salgue</t>
  </si>
  <si>
    <t>TJ33261C21213</t>
  </si>
  <si>
    <t>RED GASTRONOMICA S.A.C.</t>
  </si>
  <si>
    <t>RED GASTRONOMICA SAC</t>
  </si>
  <si>
    <t>TJ33261C21024</t>
  </si>
  <si>
    <t>TJ33261A20875</t>
  </si>
  <si>
    <t>TJ33261C20341</t>
  </si>
  <si>
    <t>TJ33261C21689</t>
  </si>
  <si>
    <t>NEGOCIOS</t>
  </si>
  <si>
    <t>HUNTERS</t>
  </si>
  <si>
    <t>IZI*SIX KARAOKE</t>
  </si>
  <si>
    <t>Six Navarro Inversiones E.I.R.L.</t>
  </si>
  <si>
    <t>Bares, discotecas, karaoke</t>
  </si>
  <si>
    <t>LIMA 688</t>
  </si>
  <si>
    <t>CUTERVO</t>
  </si>
  <si>
    <t>REF ESPALDA DE PARQUE CENTRAL</t>
  </si>
  <si>
    <t>EUROSPORT AUTOMOTRIZ SAC</t>
  </si>
  <si>
    <t>DOMINGO ORUE 790</t>
  </si>
  <si>
    <t>SURQUILLO</t>
  </si>
  <si>
    <t>REF URB CERCADO</t>
  </si>
  <si>
    <t>RUIZ BAUTISTA YESSICA YVON</t>
  </si>
  <si>
    <t>C:8849660 - F.A:20210720</t>
  </si>
  <si>
    <t>C:4753274 - F.A:20240725</t>
  </si>
  <si>
    <t>CHARAPO REPUESTOS Y AUTOPARTES E.I.R.L.</t>
  </si>
  <si>
    <t>IZI*MARKET SAN ROQUE</t>
  </si>
  <si>
    <t>Castaneda Maravi Pamela Del Pilar</t>
  </si>
  <si>
    <t>CAMINOS DEL INCA 1758</t>
  </si>
  <si>
    <t>REF Al costado de la cevicher</t>
  </si>
  <si>
    <t>JAIMES BARROSO JORGE LUIS</t>
  </si>
  <si>
    <t>00080290935</t>
  </si>
  <si>
    <t>22ANKD8E0779</t>
  </si>
  <si>
    <t>MAJOCA SOCIEDAD ANONIMA CERRADA</t>
  </si>
  <si>
    <t>USHIA</t>
  </si>
  <si>
    <t>ASTURIAS BUSINESS S.A.C.</t>
  </si>
  <si>
    <t>TJ33261C20681</t>
  </si>
  <si>
    <t>BENAVENTE MURILLO MERCEDES PAOLA</t>
  </si>
  <si>
    <t>Clínica Dra. Mercedes Benavente Murillo</t>
  </si>
  <si>
    <t>jossue.martos@lozapay.com.pe</t>
  </si>
  <si>
    <t>Jossue Martos</t>
  </si>
  <si>
    <t>74636121</t>
  </si>
  <si>
    <t xml:space="preserve">ANTHONY JOSSUE MARTOS DE LA ROSA </t>
  </si>
  <si>
    <t>Mayo</t>
  </si>
  <si>
    <t>Liquidación</t>
  </si>
  <si>
    <t>Adelanto</t>
  </si>
  <si>
    <t>IZI*RED GASTRONOMICA SAC</t>
  </si>
  <si>
    <t>Red Gastronomica S.A.C.</t>
  </si>
  <si>
    <t>PASEO DEL BOSQUE 500</t>
  </si>
  <si>
    <t>SAN BORJA</t>
  </si>
  <si>
    <t>REF CRUCE AV DEL PILAR CON JR</t>
  </si>
  <si>
    <t>BBVA</t>
  </si>
  <si>
    <t>ZAVALA ANICAMA ANGELO JESUS</t>
  </si>
  <si>
    <t>Cesado</t>
  </si>
  <si>
    <t>Vol M1</t>
  </si>
  <si>
    <t>Vol M0</t>
  </si>
  <si>
    <t>TJ33261M20020</t>
  </si>
  <si>
    <t>NEGOCIOS E INVERSIONES MCQH SOCIEDAD ANONIMA CERRADA</t>
  </si>
  <si>
    <t>MAS CARNE QUE HUESO</t>
  </si>
  <si>
    <t>TJ33261A20091</t>
  </si>
  <si>
    <t>MULTIPLACAS &amp; ACCESORIOS EL HACEDOR S.A.C.</t>
  </si>
  <si>
    <t>EL HACEDOR SAC</t>
  </si>
  <si>
    <t>TJ33261A20018</t>
  </si>
  <si>
    <t>TJ33261A20712</t>
  </si>
  <si>
    <t>TJ33261A20250</t>
  </si>
  <si>
    <t>TJ33261C21476</t>
  </si>
  <si>
    <t>H Y B HOTELES Y TRANSFERS S.A.C.</t>
  </si>
  <si>
    <t>H Y B HOTELES Y TRANSFERS SAC</t>
  </si>
  <si>
    <t>TJ33261D20228</t>
  </si>
  <si>
    <t>SERVOX S.R.L.</t>
  </si>
  <si>
    <t>SERVOX SRL</t>
  </si>
  <si>
    <t>SOFTLANDERO S.A.C.</t>
  </si>
  <si>
    <t>SOFTLANDERO SAC</t>
  </si>
  <si>
    <t>TJ33262720200</t>
  </si>
  <si>
    <t>BAR WASH LOCO BOSH E.I.R.L.</t>
  </si>
  <si>
    <t>LOCO BOSH</t>
  </si>
  <si>
    <t>TJ33262720184</t>
  </si>
  <si>
    <t>TJ33261C21648</t>
  </si>
  <si>
    <t>TJ33262820030</t>
  </si>
  <si>
    <t>TJ33262820147</t>
  </si>
  <si>
    <t>TJ33261920009</t>
  </si>
  <si>
    <t>TJ33261C20708</t>
  </si>
  <si>
    <t>TJ33262720124</t>
  </si>
  <si>
    <t>TJ33261C20167</t>
  </si>
  <si>
    <t>NEGOCIOS Y RESTAURANTES TURISTICOS MARIA ISABEL S.A.C.</t>
  </si>
  <si>
    <t>EN EL 9</t>
  </si>
  <si>
    <t>TJ33261C20797</t>
  </si>
  <si>
    <t>JIMENEZ RODRIGUEZ JOSE MANUEL</t>
  </si>
  <si>
    <t>APAFA SU</t>
  </si>
  <si>
    <t>TJ33261A20879</t>
  </si>
  <si>
    <t>ASTURIAS DELIRIUX S.A.C.</t>
  </si>
  <si>
    <t>PUIMED COMPANY S.A.C.</t>
  </si>
  <si>
    <t>ASTURIAS FOOD S.A.C.</t>
  </si>
  <si>
    <t>MAGNA BUSINESS S.A.C.</t>
  </si>
  <si>
    <t>TJ33257U20018</t>
  </si>
  <si>
    <t>GOGO Z TRADING E.I.R.L.</t>
  </si>
  <si>
    <t>K-FOOD (Los Olivos)</t>
  </si>
  <si>
    <t>22B3FD8Y2846</t>
  </si>
  <si>
    <t>K-FOOD (SJL)</t>
  </si>
  <si>
    <t>56F20617</t>
  </si>
  <si>
    <t>FELCCOR EMPRESA INDIVIDUAL DE RESPONSABILIDAD LIMITADA</t>
  </si>
  <si>
    <t>FELCCOR EIRL</t>
  </si>
  <si>
    <t>56E20145</t>
  </si>
  <si>
    <t>56F20801</t>
  </si>
  <si>
    <t>56C20066</t>
  </si>
  <si>
    <t>56F20128</t>
  </si>
  <si>
    <t>55A21280</t>
  </si>
  <si>
    <t>56D20701</t>
  </si>
  <si>
    <t>55A20083</t>
  </si>
  <si>
    <t>DESARROLLO EMPRESARIAL KAIL SOCIEDAD COMERCIAL DE RESPONSABILIDAD LIMITADA</t>
  </si>
  <si>
    <t>KAIL S.C.R.L</t>
  </si>
  <si>
    <t>TJ33262720020</t>
  </si>
  <si>
    <t>SPA BERAUN VINCES S.A.C.</t>
  </si>
  <si>
    <t>CASA ANTONIA</t>
  </si>
  <si>
    <t>EL VELERO S.A.C.</t>
  </si>
  <si>
    <t>EL VELERO (CHORRILLOS IBK)</t>
  </si>
  <si>
    <t>PAGO LINK</t>
  </si>
  <si>
    <t>WILLIAN OMAR CORTEZ PARRILLA</t>
  </si>
  <si>
    <t>Bolsa Total</t>
  </si>
  <si>
    <t>Bolsa Total de Cosecha</t>
  </si>
  <si>
    <t>Cuota Mes</t>
  </si>
  <si>
    <t>M0</t>
  </si>
  <si>
    <t>M1</t>
  </si>
  <si>
    <t>Cuota Total</t>
  </si>
  <si>
    <t>LP M0 1.35M</t>
  </si>
  <si>
    <t>Meses</t>
  </si>
  <si>
    <t>Debo Lograr</t>
  </si>
  <si>
    <t>Reversión</t>
  </si>
  <si>
    <t>trx al 31.05.2026</t>
  </si>
  <si>
    <t>HC FFVV</t>
  </si>
  <si>
    <t>HC HUNTER</t>
  </si>
  <si>
    <t>Cuota FFVV</t>
  </si>
  <si>
    <t>Cuota Hunter</t>
  </si>
  <si>
    <t>Bolsa FFVV</t>
  </si>
  <si>
    <t>Bolsa Hunter</t>
  </si>
  <si>
    <t>Facturación</t>
  </si>
  <si>
    <t>Abril M2</t>
  </si>
  <si>
    <t>Marzo M3</t>
  </si>
  <si>
    <t>Alcance</t>
  </si>
  <si>
    <t>Cuota</t>
  </si>
  <si>
    <t>Proy M1</t>
  </si>
  <si>
    <t>TJ33261K20044</t>
  </si>
  <si>
    <t>ORIGINAL J J S.A.C.</t>
  </si>
  <si>
    <t>TIENDA SUPER JJ</t>
  </si>
  <si>
    <t>TJ33261C21640</t>
  </si>
  <si>
    <t>TJ33261A20179</t>
  </si>
  <si>
    <t>TJ33261C20416</t>
  </si>
  <si>
    <t>TJ33261C21321</t>
  </si>
  <si>
    <t>TJ33261A20108</t>
  </si>
  <si>
    <t>TJ33262720231</t>
  </si>
  <si>
    <t>MARIA ISABEL</t>
  </si>
  <si>
    <t>TJ33261C21575</t>
  </si>
  <si>
    <t>JONATHAN ALEXANDER LAVADO CAVERO</t>
  </si>
  <si>
    <t>ND0048</t>
  </si>
  <si>
    <t>ND0047</t>
  </si>
  <si>
    <t>TR12951</t>
  </si>
  <si>
    <t>TR12972</t>
  </si>
  <si>
    <t>TR12969</t>
  </si>
  <si>
    <t>TR12971</t>
  </si>
  <si>
    <t>TR12959</t>
  </si>
  <si>
    <t>TR12953</t>
  </si>
  <si>
    <t>TR12938</t>
  </si>
  <si>
    <t>TR12960</t>
  </si>
  <si>
    <t>TR12952</t>
  </si>
  <si>
    <t>TR12956</t>
  </si>
  <si>
    <t>TR12967</t>
  </si>
  <si>
    <t>TR12954</t>
  </si>
  <si>
    <t>TR12949</t>
  </si>
  <si>
    <t>TR12968</t>
  </si>
  <si>
    <t>TR12950</t>
  </si>
  <si>
    <t>TR12976</t>
  </si>
  <si>
    <t>TR12939</t>
  </si>
  <si>
    <t>TR12965</t>
  </si>
  <si>
    <t>TR12947</t>
  </si>
  <si>
    <t>TR12940</t>
  </si>
  <si>
    <t>TR12941</t>
  </si>
  <si>
    <t>TR12958</t>
  </si>
  <si>
    <t>TR12975</t>
  </si>
  <si>
    <t>TR12966</t>
  </si>
  <si>
    <t>TR12963</t>
  </si>
  <si>
    <t>TR12964</t>
  </si>
  <si>
    <t>TR12957</t>
  </si>
  <si>
    <t>TR12962</t>
  </si>
  <si>
    <t>TR12948</t>
  </si>
  <si>
    <t>TR12942</t>
  </si>
  <si>
    <t>TR12946</t>
  </si>
  <si>
    <t>TR12943</t>
  </si>
  <si>
    <t>TR12944</t>
  </si>
  <si>
    <t>CESADO</t>
  </si>
  <si>
    <t>Salesforce</t>
  </si>
  <si>
    <t>(en blanco)</t>
  </si>
  <si>
    <t>TJ33261C21232</t>
  </si>
  <si>
    <t>HAN TANG MARKET E.I.R.L.</t>
  </si>
  <si>
    <t>MUNDO PACIFICO</t>
  </si>
  <si>
    <t>TJ33262720031</t>
  </si>
  <si>
    <t>TJ33261D20211</t>
  </si>
  <si>
    <t>CORPORACION COMERCIAL MARISCAL NIETO SOCIEDAD ANONIMA CERRADA - CORMARISCAL S.A.C.</t>
  </si>
  <si>
    <t>CORMARISCAL S.A.C.</t>
  </si>
  <si>
    <t>TJ33258D20046</t>
  </si>
  <si>
    <t>REYZAN MOTORS GROUP SOCIEDAD ANONIMA CERRADA - REYZAN S.A.C.</t>
  </si>
  <si>
    <t>REYZAN MOTORS</t>
  </si>
  <si>
    <t>TJ33244P21999</t>
  </si>
  <si>
    <t>ANGELA CAFE SAC BIC</t>
  </si>
  <si>
    <t>ANGELA CAFÉ</t>
  </si>
  <si>
    <t>TJ33244N20108</t>
  </si>
  <si>
    <t>231RFD837472</t>
  </si>
  <si>
    <t>21BPCD8H6501</t>
  </si>
  <si>
    <t>2227CD8S1710</t>
  </si>
  <si>
    <t>TJ33235E20438</t>
  </si>
  <si>
    <t>NUVRA BRANDS S.A.C.</t>
  </si>
  <si>
    <t>NUVRA BRANDS</t>
  </si>
  <si>
    <t>TJ33261920075</t>
  </si>
  <si>
    <t>MAKIBA MOTORS PERU S.A.C.</t>
  </si>
  <si>
    <t>MAKIBA MOTORS</t>
  </si>
  <si>
    <t>TJ33261C20885</t>
  </si>
  <si>
    <t>Cuentas en 0</t>
  </si>
  <si>
    <t>OPER</t>
  </si>
  <si>
    <t>LT</t>
  </si>
  <si>
    <t>SOFTLANDERO SAC (SOLES)</t>
  </si>
  <si>
    <t>SOFTLANDERO SAC (DÓLARES)</t>
  </si>
  <si>
    <t>TJ33261C21026</t>
  </si>
  <si>
    <t>COMPUMEX E.I.R.L.</t>
  </si>
  <si>
    <t>COMPUMEX</t>
  </si>
  <si>
    <t>EL VELERO (SURCO BBVA)</t>
  </si>
  <si>
    <t>TJ33261C21576</t>
  </si>
  <si>
    <t>CORPORACION AMAZONIKA S.A.C</t>
  </si>
  <si>
    <t>CORPORACION AMAZONIKA</t>
  </si>
  <si>
    <t>TJ33261E20001</t>
  </si>
  <si>
    <t>TJ33262820160</t>
  </si>
  <si>
    <t>TJ33261C21543</t>
  </si>
  <si>
    <t>BAYONA GAMBINI SAVELY YASHIN</t>
  </si>
  <si>
    <t>DISCOBAR PRIMAVERA</t>
  </si>
  <si>
    <t>TJ33261D20161</t>
  </si>
  <si>
    <t>TJ33261A20684</t>
  </si>
  <si>
    <t>TECNOLOGIA Y TENDENCIA S.A.C.</t>
  </si>
  <si>
    <t>LA CASA DE LA TECNOLOGIA</t>
  </si>
  <si>
    <t>TJ33261C21353</t>
  </si>
  <si>
    <t>INNOVATECH STORE S.A.C.</t>
  </si>
  <si>
    <t>INNOVATECH</t>
  </si>
  <si>
    <t>TJ33261A20319</t>
  </si>
  <si>
    <t>GRUPO HOTELERO DORDEAN S.A.C.</t>
  </si>
  <si>
    <t>Grupo Hotelero Dordéan S.A.C.</t>
  </si>
  <si>
    <t>TJ33261A20288</t>
  </si>
  <si>
    <t>COMPUSOL EIRL</t>
  </si>
  <si>
    <t>COMPUSOL</t>
  </si>
  <si>
    <t>EL EMPORIO DE LA BELLEZA S.A.C.</t>
  </si>
  <si>
    <t>EMPORIO DE LA BELLEZA</t>
  </si>
  <si>
    <t>JACKELINE SOLANGE MATOS QUINONES</t>
  </si>
  <si>
    <t>TJ33262720067</t>
  </si>
  <si>
    <t>RODRIGUEZ SALINAS ANA ELIZABET</t>
  </si>
  <si>
    <t>BAZAR ANLI</t>
  </si>
  <si>
    <t>TJ33262820209</t>
  </si>
  <si>
    <t>CORPORACION LARREA SOCIEDAD ANONIMA CERRADA</t>
  </si>
  <si>
    <t>GRUPO LARREA</t>
  </si>
  <si>
    <t>Fecha de ingreso</t>
  </si>
  <si>
    <t>Fecha entrega</t>
  </si>
  <si>
    <t>CÓD COMERCIO</t>
  </si>
  <si>
    <t>Jhoan Lozano</t>
  </si>
  <si>
    <t>46640542</t>
  </si>
  <si>
    <t>47684403</t>
  </si>
  <si>
    <t>75997183</t>
  </si>
  <si>
    <t>72791766</t>
  </si>
  <si>
    <t>07925403</t>
  </si>
  <si>
    <t>JUAN CARLOS SANGAMA FLORES</t>
  </si>
  <si>
    <t>JONATHAN ALEXANDER CORONEL CAPUÑAY</t>
  </si>
  <si>
    <t>KATIA JULISSA HERRERA PEREZ</t>
  </si>
  <si>
    <t>EVELIN ALCIRA ASPUR CHAVEZ</t>
  </si>
  <si>
    <t>CARLOS ALFONSO TAHUA GARCES</t>
  </si>
  <si>
    <t>Jonathan Coronel</t>
  </si>
  <si>
    <t>Katia Herrera</t>
  </si>
  <si>
    <t>Evelin Aspur</t>
  </si>
  <si>
    <t>Carlos Tahua</t>
  </si>
  <si>
    <t>Juan Sangama</t>
  </si>
  <si>
    <t>juan.sangama@lozapay.com.pe</t>
  </si>
  <si>
    <t>jonathan.coronel@lozapay.com.pe</t>
  </si>
  <si>
    <t>katia.herrera@lozapay.com.pe</t>
  </si>
  <si>
    <t>evelin.aspur@lozapay.com.pe</t>
  </si>
  <si>
    <t>carlos.tahua@lozapay.com.pe</t>
  </si>
  <si>
    <t>2/06/2026</t>
  </si>
  <si>
    <t>4/06/2026</t>
  </si>
  <si>
    <t>16/06/2026</t>
  </si>
  <si>
    <t>3/06/2026</t>
  </si>
  <si>
    <t>11/06/2026</t>
  </si>
  <si>
    <t>9/06/2026</t>
  </si>
  <si>
    <t>8/06/2026</t>
  </si>
  <si>
    <t>15/06/2026</t>
  </si>
  <si>
    <t>1/06/2026</t>
  </si>
  <si>
    <t>12/06/2026</t>
  </si>
  <si>
    <t>6/06/2026</t>
  </si>
  <si>
    <t>17/06/2026</t>
  </si>
  <si>
    <t>5/06/2026</t>
  </si>
  <si>
    <t>17/05/2026</t>
  </si>
  <si>
    <t>Vol QR M0</t>
  </si>
  <si>
    <t>Vol TJ M0</t>
  </si>
  <si>
    <t>Vol QR M1</t>
  </si>
  <si>
    <t>Vol TJ M1</t>
  </si>
  <si>
    <t>Vol M2</t>
  </si>
  <si>
    <t>Vol QR M2</t>
  </si>
  <si>
    <t>Vol TJ M2</t>
  </si>
  <si>
    <t>Vol M3</t>
  </si>
  <si>
    <t>Vol QR M3</t>
  </si>
  <si>
    <t>Vol TJ M3</t>
  </si>
  <si>
    <t>Código LT</t>
  </si>
  <si>
    <t>dif incremental liquidable final x ruc</t>
  </si>
  <si>
    <t>EVITAMIENTO 1261</t>
  </si>
  <si>
    <t>ATE</t>
  </si>
  <si>
    <t>URB PARQUE MONTERRICO</t>
  </si>
  <si>
    <t>C:5328748 - F.A:20230106</t>
  </si>
  <si>
    <t>ASTURIAS DELIRIUX SAC</t>
  </si>
  <si>
    <t>IGNACIO MERINO 2500</t>
  </si>
  <si>
    <t>REF FRENTE AL DOOMO SALTADO</t>
  </si>
  <si>
    <t>ASTURIAS BUSINESS SAC</t>
  </si>
  <si>
    <t>REF CON AV PETIT THOURS</t>
  </si>
  <si>
    <t>C:5713882 - F.A:20240819</t>
  </si>
  <si>
    <t>C</t>
  </si>
  <si>
    <t>Institutos superiores, universidades</t>
  </si>
  <si>
    <t>TUMBES 247</t>
  </si>
  <si>
    <t>CHIMBOTE</t>
  </si>
  <si>
    <t>SANTA</t>
  </si>
  <si>
    <t>REF COSTADO DEL CENTRO DE SERV</t>
  </si>
  <si>
    <t>C:1915690 - F.A:20170429</t>
  </si>
  <si>
    <t>C:4757974 - F.A:20250908</t>
  </si>
  <si>
    <t>BE</t>
  </si>
  <si>
    <t>Agencias de viaje</t>
  </si>
  <si>
    <t>FERNANDO CASTRAT 463</t>
  </si>
  <si>
    <t>URB CHAMA</t>
  </si>
  <si>
    <t>CORTEZ PARRILLA WILLIAM OMAR</t>
  </si>
  <si>
    <t>C:4758763 - F.A:20251110</t>
  </si>
  <si>
    <t>C:4081089 - F.A:20260305</t>
  </si>
  <si>
    <t>ASTURIAS FOOD SAC</t>
  </si>
  <si>
    <t>REF FRENTE AL RESTAURANTE DOMO</t>
  </si>
  <si>
    <t>C:5328776 - F.A:20230106</t>
  </si>
  <si>
    <t>CORPORACION COMERCIAL MARISCAL NIETO SOCIEDAD ANON</t>
  </si>
  <si>
    <t>APV LA FLORIDA MZ P LT Y</t>
  </si>
  <si>
    <t>SAN ANTONIO</t>
  </si>
  <si>
    <t>MARISCAL NIETO</t>
  </si>
  <si>
    <t>MOQUEGUA</t>
  </si>
  <si>
    <t>LIMA PROVINCIAS</t>
  </si>
  <si>
    <t>REF CUDRAS CIRCUITO DE MANEJO</t>
  </si>
  <si>
    <t>SIFUENTES ULLOA ANTONI AMNER</t>
  </si>
  <si>
    <t>C:8660003 - F.A:20201202</t>
  </si>
  <si>
    <t>C:5343441 - F.A:20230118</t>
  </si>
  <si>
    <t>EL VELERO</t>
  </si>
  <si>
    <t>CHACHI DIBOS 1201</t>
  </si>
  <si>
    <t>CHORRILLOS</t>
  </si>
  <si>
    <t>REF ACCESO TENDERINI RESTAUR 1</t>
  </si>
  <si>
    <t>C:5394595 - F.A:20230301</t>
  </si>
  <si>
    <t>C:5604052 - F.A:20240112</t>
  </si>
  <si>
    <t>MAYORISTA - MATERIALES DE CONSTRUCCIÓN (NO INCLU</t>
  </si>
  <si>
    <t>MANUEL SEOANE 1955</t>
  </si>
  <si>
    <t>C:8435745 - F.A:20200201</t>
  </si>
  <si>
    <t>C:5729572 - F.A:20240918</t>
  </si>
  <si>
    <t>DANIEL ALOMIAS ROBLES 125</t>
  </si>
  <si>
    <t>REF CRUCE JR CLAUDE DEBUSS JR</t>
  </si>
  <si>
    <t>Softlandero S.A.C.</t>
  </si>
  <si>
    <t>Abogados, notarias</t>
  </si>
  <si>
    <t>Comercio Electronico</t>
  </si>
  <si>
    <t>LINK DE PAGO</t>
  </si>
  <si>
    <t>C:5750286 - F.A:20241031</t>
  </si>
  <si>
    <t>C:5949759 - F.A:20260521</t>
  </si>
  <si>
    <t>DOLARES</t>
  </si>
  <si>
    <t>Doctores en general</t>
  </si>
  <si>
    <t>BOTON DE PAGO WEB</t>
  </si>
  <si>
    <t>IZI*CLINICA DRA MERCEDES BENAVENTE MURILLO</t>
  </si>
  <si>
    <t>Benavente Murillo Mercedes Paola</t>
  </si>
  <si>
    <t>Otros servicios medicos</t>
  </si>
  <si>
    <t>ALBERT EINSTEIN 314</t>
  </si>
  <si>
    <t>REF ENTRE LAS CDRAS 22 Y 23 D</t>
  </si>
  <si>
    <t>JARAMA REATEGUI NESTOR RAUL</t>
  </si>
  <si>
    <t>IZI*LOCO BOSH</t>
  </si>
  <si>
    <t>BAR WASH LOCO BOSH EIRL</t>
  </si>
  <si>
    <t>Licorerias</t>
  </si>
  <si>
    <t>ARBOLIZACION SN  G 13   G</t>
  </si>
  <si>
    <t>YARINACOCHA</t>
  </si>
  <si>
    <t>CORONEL PORTILLO</t>
  </si>
  <si>
    <t>UCAYALI</t>
  </si>
  <si>
    <t>IQUITOS</t>
  </si>
  <si>
    <t>REF ENTRE  AV MIRAFLORES Y AV</t>
  </si>
  <si>
    <t>IZI*MAS CARNE QUE HUESO</t>
  </si>
  <si>
    <t>Negocios E Inversiones Mcqh Sociedad Anonima Cerra</t>
  </si>
  <si>
    <t>HUIRACOCHA 1417</t>
  </si>
  <si>
    <t>JESUS MARIA</t>
  </si>
  <si>
    <t>REF ALTURA JIRON MARISCAL LUZ</t>
  </si>
  <si>
    <t>C:5947793 - F.A:20260515</t>
  </si>
  <si>
    <t>IZI*SERVOX SRL</t>
  </si>
  <si>
    <t>COMPUTADORAS, EQUIPO DE COMPUT QUIPO DE COMPUT ADORAS PERIFE</t>
  </si>
  <si>
    <t>CORONEL FRANCISCO BOLOGNESI 205</t>
  </si>
  <si>
    <t>TACNA</t>
  </si>
  <si>
    <t>REF Al costado de OSIPTEL por</t>
  </si>
  <si>
    <t>C:8442639 - F.A:20200207</t>
  </si>
  <si>
    <t>IZI*MARIA ISABEL</t>
  </si>
  <si>
    <t>NEGOCIOS Y RESTAURANTES TURISTICOS MARIA</t>
  </si>
  <si>
    <t>JOSE EUFENIO LORA Y LORA 210</t>
  </si>
  <si>
    <t>REF FRENTE A TRANSPORTES CHIC</t>
  </si>
  <si>
    <t>IZI*APAFA SU</t>
  </si>
  <si>
    <t>Jimenez Rodriguez Jose Manuel</t>
  </si>
  <si>
    <t>CESAR VALLEJO 318</t>
  </si>
  <si>
    <t>REF A una cuadra de tip top d</t>
  </si>
  <si>
    <t>IZI*COMPUMEX CHIMBOTE</t>
  </si>
  <si>
    <t>COMPUMEX EIRL</t>
  </si>
  <si>
    <t>COMANDANTE LADISLAO ESPINAR 429 114</t>
  </si>
  <si>
    <t>REF A ESPALDAS DE LA PLAZA DE</t>
  </si>
  <si>
    <t>C:1665880 - F.A:20170615</t>
  </si>
  <si>
    <t>C:9882824 - F.A:20241227</t>
  </si>
  <si>
    <t>IZI*TIENDA SUPER JJ</t>
  </si>
  <si>
    <t>Tiendas de articulos varios</t>
  </si>
  <si>
    <t>ABANCAY 752</t>
  </si>
  <si>
    <t>REF JR APURIMAC Y JR PUNO</t>
  </si>
  <si>
    <t>C:8427080 - F.A:20200125</t>
  </si>
  <si>
    <t>C:8974767 - F.A:20220115</t>
  </si>
  <si>
    <t>IZI*CASA ANTONIA</t>
  </si>
  <si>
    <t>Spa Beraun Vinces S.A.C.</t>
  </si>
  <si>
    <t>LOS PINOS 202</t>
  </si>
  <si>
    <t>REF Casa de rejas segundo pis</t>
  </si>
  <si>
    <t>ABANCAY 666</t>
  </si>
  <si>
    <t>IZI*MAKIBA MOTORS</t>
  </si>
  <si>
    <t>Venta autos/camiones nuevos</t>
  </si>
  <si>
    <t>ALAMEDA DEL PREMIO REAL SN  K1 5C   K1</t>
  </si>
  <si>
    <t>REF LOS PANTANOS DE VILLA</t>
  </si>
  <si>
    <t>C:1142291 - F.A:20110831</t>
  </si>
  <si>
    <t>C:5466616 - F.A:20230511</t>
  </si>
  <si>
    <t>IZI*AMAZONIKA Y AMASO</t>
  </si>
  <si>
    <t>CORPORACION AMAZONIKA S.A.C.</t>
  </si>
  <si>
    <t>2 DE MAYO 642</t>
  </si>
  <si>
    <t>CHACHAPOYAS</t>
  </si>
  <si>
    <t>AMAZONAS</t>
  </si>
  <si>
    <t>REF A MEDIA CUADRA DEL JIRON</t>
  </si>
  <si>
    <t>CASTILLO PEREZ, CESAR PIEERLUIGI</t>
  </si>
  <si>
    <t>C:1007440 - F.A:20180820</t>
  </si>
  <si>
    <t>C:8978426 - F.A:20220119</t>
  </si>
  <si>
    <t>IZI*COMPUSOL CHIMBOTE</t>
  </si>
  <si>
    <t>COMPUSOL E.I.R.L.</t>
  </si>
  <si>
    <t>LADISLAO ESPINAR 429 114B</t>
  </si>
  <si>
    <t>REF a dos cuadras de la plaza</t>
  </si>
  <si>
    <t>C:1718274 - F.A:20150202</t>
  </si>
  <si>
    <t>C:9892111 - F.A:20250319</t>
  </si>
  <si>
    <t>IZI*NUVRA BRANDS</t>
  </si>
  <si>
    <t>Nuvra Brands S.A.C.</t>
  </si>
  <si>
    <t>HUAROCHIRI 667</t>
  </si>
  <si>
    <t>LA MOLINA</t>
  </si>
  <si>
    <t>REF cruce javier prado con ov</t>
  </si>
  <si>
    <t>IZI ONLINE PasARELA</t>
  </si>
  <si>
    <t>ONLINE PASARELA</t>
  </si>
  <si>
    <t>IZI*INNOVATECH STORE</t>
  </si>
  <si>
    <t>Innovatech Store SAC</t>
  </si>
  <si>
    <t>CAMINOS DEL INCA 244</t>
  </si>
  <si>
    <t>REF AL COSTADO DEL BBVA</t>
  </si>
  <si>
    <t>IZI*LA CASA DE LA TECNOLOGIA</t>
  </si>
  <si>
    <t>TECNOLOGIA Y TENDENCIA SAC</t>
  </si>
  <si>
    <t>ABANCAY 664</t>
  </si>
  <si>
    <t>IZI*GRUPO HOTELERO DORDEAN SAC</t>
  </si>
  <si>
    <t>GRUPO HOTELERO DORDEAN SAC</t>
  </si>
  <si>
    <t>AMAZONAS 840</t>
  </si>
  <si>
    <t>REF Por la plaza de armas cha</t>
  </si>
  <si>
    <t>C:5204087 - F.A:20221013</t>
  </si>
  <si>
    <t>IZI*DISCOBARPRIMAVERA</t>
  </si>
  <si>
    <t>SIN NOMBRE SN  MZ C1 1 LOT   MZ C1</t>
  </si>
  <si>
    <t>REF Frente a Larco</t>
  </si>
  <si>
    <t>IZI*MUNDO PACIFICO</t>
  </si>
  <si>
    <t>HAN TANG MARKET EIRL</t>
  </si>
  <si>
    <t>Mat. industriales no clasific.</t>
  </si>
  <si>
    <t>AVENIDA 0  B1 7</t>
  </si>
  <si>
    <t>NUEVO CHIMBOTE</t>
  </si>
  <si>
    <t>ABANCAY 752       2</t>
  </si>
  <si>
    <t>AVENIDA 2 0  B1 7</t>
  </si>
  <si>
    <t>AVENIDA 3 0  B1 7</t>
  </si>
  <si>
    <t>LORA Y LORA 210</t>
  </si>
  <si>
    <t>REF CON ESQUINA A CALLE SAN J</t>
  </si>
  <si>
    <t>SIN NOMBRE SN  MZ C1 LOTE   MZ C1</t>
  </si>
  <si>
    <t>Q Act</t>
  </si>
  <si>
    <t>Q Activo</t>
  </si>
  <si>
    <t xml:space="preserve">Vol M1 </t>
  </si>
  <si>
    <t>Instalación</t>
  </si>
  <si>
    <t xml:space="preserve">Vol M0 </t>
  </si>
  <si>
    <t>incremental x codigo_total</t>
  </si>
  <si>
    <t>incremental x codigo_qr</t>
  </si>
  <si>
    <t>incremental x codigo_tarjeta</t>
  </si>
  <si>
    <t>incremental liquidable x codigo</t>
  </si>
  <si>
    <t>trx al 17.06.2026_liquidable</t>
  </si>
  <si>
    <t>trx al 17.06.2026</t>
  </si>
  <si>
    <t>MULTIPLACAS Y ACCESORIOS EL HACEDOR S.A.C.</t>
  </si>
  <si>
    <t>IZI*GRUPO LARREA</t>
  </si>
  <si>
    <t>Corporacion Larrea Sociedad Anonima Cerrada</t>
  </si>
  <si>
    <t>LUIS GONZALES 1620</t>
  </si>
  <si>
    <t>REF URB COIS SC UNO</t>
  </si>
  <si>
    <t>IZI*BAZAR ANLI</t>
  </si>
  <si>
    <t>Rodriguez Salinas Ana Elizabet</t>
  </si>
  <si>
    <t>26 DE JULIO 1072</t>
  </si>
  <si>
    <t>FLORENCIA DE MORA</t>
  </si>
  <si>
    <t>REF FRENTA AL PLAZA DE ARMAS</t>
  </si>
  <si>
    <t>TJ33261A20469</t>
  </si>
  <si>
    <t>ESENCIAS DE BUENOS AIRES SOCIEDAD ANONIMA CERRADA</t>
  </si>
  <si>
    <t>Cotidiano Panadería</t>
  </si>
  <si>
    <t>TJ33261C21235</t>
  </si>
  <si>
    <t>ASTURIANO E.I.R.L.</t>
  </si>
  <si>
    <t>CabañaQuinta</t>
  </si>
  <si>
    <t>TJ33261A20209</t>
  </si>
  <si>
    <t>NEGOCIOS PINTO E.I.R.L.</t>
  </si>
  <si>
    <t>NEGOCIOS PINTO E.I.R.L</t>
  </si>
  <si>
    <t>TJ33261C21535</t>
  </si>
  <si>
    <t>TJ33261A20059</t>
  </si>
  <si>
    <t>TJ33261C20881</t>
  </si>
  <si>
    <t>TJ33261A20186</t>
  </si>
  <si>
    <t>TJ33261C21257</t>
  </si>
  <si>
    <t>TJ33261C20678</t>
  </si>
  <si>
    <t>TJ33261A20420</t>
  </si>
  <si>
    <t>TJ33261A21019</t>
  </si>
  <si>
    <t>TJ33261C21166</t>
  </si>
  <si>
    <t>MUNDO FB IMPORT S.A.C.</t>
  </si>
  <si>
    <t>FB IMPORT</t>
  </si>
  <si>
    <t>BULL EXPRESS CARGO S.A.C.</t>
  </si>
  <si>
    <t>BULL EXPRESS CARGO</t>
  </si>
  <si>
    <t>18/05/2026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</si>
</sst>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S/&quot;\ #,##0;[Red]\-&quot;S/&quot;\ #,##0"/>
    <numFmt numFmtId="8" formatCode="&quot;S/&quot;\ #,##0.00;[Red]\-&quot;S/&quot;\ #,##0.00"/>
    <numFmt numFmtId="164" formatCode="&quot;S/&quot;\ #,##0"/>
    <numFmt numFmtId="165" formatCode="dd/mm/yy;@"/>
  </numFmts>
  <fonts count="17">
    <font>
      <sz val="11"/>
      <color theme="1"/>
      <name val="Calibri"/>
      <family val="2"/>
      <scheme val="minor"/>
    </font>
    <font>
      <b/>
      <sz val="10"/>
      <color theme="0"/>
      <name val="Source Sans Pro"/>
      <family val="2"/>
    </font>
    <font>
      <sz val="10"/>
      <color theme="1"/>
      <name val="Source Sans Pro"/>
      <family val="2"/>
    </font>
    <font>
      <b/>
      <sz val="10"/>
      <color rgb="FFFFFFFF"/>
      <name val="Source Sans Pro"/>
      <family val="2"/>
    </font>
    <font>
      <sz val="10"/>
      <name val="Source Sans Pro"/>
      <family val="2"/>
    </font>
    <font>
      <b/>
      <sz val="10"/>
      <name val="Source Sans Pro"/>
      <family val="2"/>
    </font>
    <font>
      <sz val="8"/>
      <name val="Calibri"/>
      <family val="2"/>
      <scheme val="minor"/>
    </font>
    <font>
      <b/>
      <sz val="10"/>
      <color theme="1"/>
      <name val="Source Sans Pro"/>
      <family val="2"/>
    </font>
    <font>
      <sz val="11"/>
      <color theme="1"/>
      <name val="Source Sans Pro"/>
      <family val="2"/>
    </font>
    <font>
      <b/>
      <sz val="11"/>
      <color theme="1"/>
      <name val="Source Sans Pro"/>
      <family val="2"/>
    </font>
    <font>
      <b/>
      <sz val="11"/>
      <color theme="0"/>
      <name val="Source Sans Pro"/>
      <family val="2"/>
    </font>
    <font>
      <sz val="11"/>
      <color rgb="FFFF0000"/>
      <name val="Source Sans Pro"/>
      <family val="2"/>
    </font>
    <font>
      <sz val="11"/>
      <color theme="1"/>
      <name val="Source Sans Pro"/>
      <family val="2"/>
    </font>
    <font>
      <sz val="11"/>
      <name val="Source Sans Pro"/>
      <family val="2"/>
    </font>
    <font>
      <sz val="10"/>
      <color theme="1"/>
      <name val="Source Sans 3"/>
    </font>
    <font>
      <sz val="10"/>
      <color theme="1"/>
      <name val="Arial"/>
      <family val="2"/>
    </font>
    <font>
      <sz val="10"/>
      <color rgb="FFFFFFFF"/>
      <name val="Source Sans 3"/>
    </font>
  </fonts>
  <fills count="1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433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17" fontId="2" fillId="0" borderId="3" xfId="0" applyNumberFormat="1" applyFont="1" applyBorder="1" applyAlignment="1">
      <alignment horizontal="left" vertical="center"/>
    </xf>
    <xf numFmtId="14" fontId="2" fillId="0" borderId="3" xfId="0" applyNumberFormat="1" applyFont="1" applyBorder="1" applyAlignment="1">
      <alignment horizontal="left" vertical="center"/>
    </xf>
    <xf numFmtId="3" fontId="2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3" fontId="2" fillId="0" borderId="4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3" fillId="5" borderId="5" xfId="0" applyNumberFormat="1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49" fontId="2" fillId="9" borderId="3" xfId="0" applyNumberFormat="1" applyFont="1" applyFill="1" applyBorder="1" applyAlignment="1">
      <alignment horizontal="center" vertical="center"/>
    </xf>
    <xf numFmtId="49" fontId="4" fillId="9" borderId="3" xfId="0" applyNumberFormat="1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65" fontId="2" fillId="9" borderId="3" xfId="0" applyNumberFormat="1" applyFont="1" applyFill="1" applyBorder="1" applyAlignment="1">
      <alignment horizontal="center" vertical="center"/>
    </xf>
    <xf numFmtId="3" fontId="2" fillId="9" borderId="3" xfId="0" applyNumberFormat="1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6" borderId="8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/>
    <xf numFmtId="0" fontId="2" fillId="0" borderId="3" xfId="0" applyNumberFormat="1" applyFont="1" applyBorder="1" applyAlignment="1">
      <alignment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17" fontId="2" fillId="0" borderId="3" xfId="0" applyNumberFormat="1" applyFont="1" applyFill="1" applyBorder="1" applyAlignment="1">
      <alignment horizontal="center" vertical="center"/>
    </xf>
    <xf numFmtId="17" fontId="2" fillId="9" borderId="3" xfId="0" applyNumberFormat="1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14" fontId="2" fillId="0" borderId="4" xfId="0" applyNumberFormat="1" applyFont="1" applyBorder="1" applyAlignment="1">
      <alignment horizontal="left" vertical="center"/>
    </xf>
    <xf numFmtId="0" fontId="2" fillId="0" borderId="3" xfId="0" applyNumberFormat="1" applyFont="1" applyBorder="1" applyAlignment="1">
      <alignment horizontal="left" vertical="center"/>
    </xf>
    <xf numFmtId="0" fontId="2" fillId="0" borderId="3" xfId="0" applyNumberFormat="1" applyFont="1" applyBorder="1" applyAlignment="1">
      <alignment horizontal="right" vertical="center"/>
    </xf>
    <xf numFmtId="0" fontId="2" fillId="0" borderId="4" xfId="0" applyNumberFormat="1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right" vertical="center"/>
    </xf>
    <xf numFmtId="17" fontId="9" fillId="0" borderId="0" xfId="0" applyNumberFormat="1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8" fillId="0" borderId="0" xfId="0" pivotButton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49" fontId="4" fillId="11" borderId="3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17" fontId="2" fillId="11" borderId="3" xfId="0" applyNumberFormat="1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3" fontId="2" fillId="0" borderId="3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3" fontId="2" fillId="0" borderId="4" xfId="0" applyNumberFormat="1" applyFont="1" applyFill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49" fontId="4" fillId="11" borderId="4" xfId="0" applyNumberFormat="1" applyFont="1" applyFill="1" applyBorder="1" applyAlignment="1">
      <alignment horizontal="center" vertical="center"/>
    </xf>
    <xf numFmtId="49" fontId="2" fillId="11" borderId="4" xfId="0" applyNumberFormat="1" applyFont="1" applyFill="1" applyBorder="1" applyAlignment="1">
      <alignment horizontal="center" vertical="center"/>
    </xf>
    <xf numFmtId="11" fontId="2" fillId="0" borderId="3" xfId="0" applyNumberFormat="1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6" fontId="8" fillId="0" borderId="0" xfId="0" applyNumberFormat="1" applyFont="1" applyAlignment="1">
      <alignment horizontal="center" vertical="center"/>
    </xf>
    <xf numFmtId="6" fontId="9" fillId="0" borderId="0" xfId="0" applyNumberFormat="1" applyFont="1" applyAlignment="1">
      <alignment horizontal="center" vertical="center"/>
    </xf>
    <xf numFmtId="6" fontId="8" fillId="7" borderId="0" xfId="0" applyNumberFormat="1" applyFont="1" applyFill="1" applyAlignment="1">
      <alignment horizontal="center" vertical="center"/>
    </xf>
    <xf numFmtId="6" fontId="11" fillId="0" borderId="0" xfId="0" applyNumberFormat="1" applyFont="1" applyAlignment="1">
      <alignment horizontal="center" vertical="center"/>
    </xf>
    <xf numFmtId="8" fontId="8" fillId="0" borderId="0" xfId="0" applyNumberFormat="1" applyFont="1" applyAlignment="1">
      <alignment horizontal="center" vertical="center"/>
    </xf>
    <xf numFmtId="3" fontId="2" fillId="0" borderId="3" xfId="0" applyNumberFormat="1" applyFont="1" applyBorder="1" applyAlignment="1">
      <alignment vertical="center"/>
    </xf>
    <xf numFmtId="3" fontId="2" fillId="0" borderId="4" xfId="0" applyNumberFormat="1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165" fontId="2" fillId="0" borderId="3" xfId="0" applyNumberFormat="1" applyFont="1" applyFill="1" applyBorder="1" applyAlignment="1">
      <alignment horizontal="center" vertical="center"/>
    </xf>
    <xf numFmtId="16" fontId="8" fillId="0" borderId="7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3" fontId="8" fillId="0" borderId="3" xfId="0" applyNumberFormat="1" applyFont="1" applyFill="1" applyBorder="1" applyAlignment="1">
      <alignment horizontal="center" vertical="center"/>
    </xf>
    <xf numFmtId="17" fontId="8" fillId="0" borderId="12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3" fontId="8" fillId="0" borderId="4" xfId="0" applyNumberFormat="1" applyFont="1" applyFill="1" applyBorder="1" applyAlignment="1">
      <alignment horizontal="center" vertical="center"/>
    </xf>
    <xf numFmtId="3" fontId="8" fillId="0" borderId="2" xfId="0" applyNumberFormat="1" applyFont="1" applyFill="1" applyBorder="1" applyAlignment="1">
      <alignment horizontal="center" vertical="center"/>
    </xf>
    <xf numFmtId="17" fontId="8" fillId="0" borderId="11" xfId="0" applyNumberFormat="1" applyFont="1" applyFill="1" applyBorder="1" applyAlignment="1">
      <alignment horizontal="center" vertical="center"/>
    </xf>
    <xf numFmtId="17" fontId="8" fillId="0" borderId="15" xfId="0" applyNumberFormat="1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left" vertical="center"/>
    </xf>
    <xf numFmtId="0" fontId="5" fillId="6" borderId="8" xfId="0" applyNumberFormat="1" applyFont="1" applyFill="1" applyBorder="1" applyAlignment="1">
      <alignment vertical="center"/>
    </xf>
    <xf numFmtId="0" fontId="5" fillId="6" borderId="2" xfId="0" applyNumberFormat="1" applyFont="1" applyFill="1" applyBorder="1" applyAlignment="1">
      <alignment vertical="center"/>
    </xf>
    <xf numFmtId="0" fontId="2" fillId="0" borderId="2" xfId="0" applyNumberFormat="1" applyFont="1" applyBorder="1" applyAlignment="1">
      <alignment vertical="center"/>
    </xf>
    <xf numFmtId="0" fontId="2" fillId="0" borderId="4" xfId="0" applyNumberFormat="1" applyFont="1" applyBorder="1" applyAlignment="1">
      <alignment vertical="center"/>
    </xf>
    <xf numFmtId="0" fontId="2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vertical="center"/>
    </xf>
    <xf numFmtId="1" fontId="9" fillId="12" borderId="13" xfId="0" applyNumberFormat="1" applyFont="1" applyFill="1" applyBorder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9" fillId="12" borderId="13" xfId="0" applyFont="1" applyFill="1" applyBorder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17" fontId="9" fillId="0" borderId="0" xfId="0" applyNumberFormat="1" applyFont="1" applyBorder="1" applyAlignment="1">
      <alignment horizontal="center" vertical="center"/>
    </xf>
    <xf numFmtId="17" fontId="9" fillId="0" borderId="13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1" fontId="9" fillId="12" borderId="14" xfId="0" applyNumberFormat="1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left"/>
    </xf>
    <xf numFmtId="4" fontId="2" fillId="0" borderId="3" xfId="0" applyNumberFormat="1" applyFont="1" applyBorder="1" applyAlignment="1">
      <alignment vertical="center"/>
    </xf>
    <xf numFmtId="4" fontId="2" fillId="0" borderId="4" xfId="0" applyNumberFormat="1" applyFont="1" applyBorder="1" applyAlignment="1">
      <alignment vertical="center"/>
    </xf>
    <xf numFmtId="3" fontId="2" fillId="0" borderId="8" xfId="0" applyNumberFormat="1" applyFont="1" applyBorder="1" applyAlignment="1">
      <alignment horizontal="left" vertical="center"/>
    </xf>
    <xf numFmtId="0" fontId="12" fillId="0" borderId="0" xfId="0" pivotButton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3" fontId="13" fillId="0" borderId="3" xfId="0" applyNumberFormat="1" applyFont="1" applyFill="1" applyBorder="1" applyAlignment="1">
      <alignment horizontal="center" vertical="center"/>
    </xf>
    <xf numFmtId="3" fontId="13" fillId="0" borderId="4" xfId="0" applyNumberFormat="1" applyFont="1" applyFill="1" applyBorder="1" applyAlignment="1">
      <alignment horizontal="center" vertical="center"/>
    </xf>
    <xf numFmtId="17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" fontId="12" fillId="0" borderId="0" xfId="0" applyNumberFormat="1" applyFont="1" applyAlignment="1">
      <alignment horizontal="center" vertical="center"/>
    </xf>
    <xf numFmtId="0" fontId="2" fillId="0" borderId="0" xfId="0" applyFont="1"/>
    <xf numFmtId="0" fontId="14" fillId="0" borderId="16" xfId="0" applyFont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vertical="center" wrapText="1"/>
    </xf>
    <xf numFmtId="14" fontId="14" fillId="0" borderId="16" xfId="0" applyNumberFormat="1" applyFont="1" applyBorder="1" applyAlignment="1">
      <alignment horizontal="center" vertical="center" wrapText="1"/>
    </xf>
    <xf numFmtId="14" fontId="14" fillId="14" borderId="16" xfId="0" applyNumberFormat="1" applyFont="1" applyFill="1" applyBorder="1" applyAlignment="1">
      <alignment horizontal="center" vertical="center" wrapText="1"/>
    </xf>
    <xf numFmtId="0" fontId="15" fillId="15" borderId="16" xfId="0" applyFont="1" applyFill="1" applyBorder="1" applyAlignment="1">
      <alignment vertical="center" wrapText="1"/>
    </xf>
    <xf numFmtId="0" fontId="16" fillId="13" borderId="16" xfId="0" applyFont="1" applyFill="1" applyBorder="1" applyAlignment="1">
      <alignment horizontal="center" vertical="center" wrapText="1"/>
    </xf>
    <xf numFmtId="0" fontId="15" fillId="14" borderId="16" xfId="0" applyFont="1" applyFill="1" applyBorder="1" applyAlignment="1">
      <alignment vertical="center" wrapText="1"/>
    </xf>
  </cellXfs>
  <cellStyles count="1">
    <cellStyle name="Normal" xfId="0" builtinId="0"/>
  </cellStyles>
  <dxfs count="492"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numFmt numFmtId="1" formatCode="0"/>
    </dxf>
    <dxf>
      <numFmt numFmtId="1" formatCode="0"/>
    </dxf>
    <dxf>
      <numFmt numFmtId="0" formatCode="General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22" formatCode="mmm\-yy"/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numFmt numFmtId="1" formatCode="0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"/>
        <family val="2"/>
        <scheme val="none"/>
      </font>
      <numFmt numFmtId="22" formatCode="mmm\-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Source Sans Pro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Source Sans Pro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Source Sans Pro"/>
        <family val="2"/>
        <scheme val="none"/>
      </font>
      <numFmt numFmtId="21" formatCode="d\-m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ource Sans Pro"/>
        <family val="2"/>
        <scheme val="none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"/>
        <family val="2"/>
        <scheme val="none"/>
      </font>
      <numFmt numFmtId="22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Source Sans Pro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Source Sans Pro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Source Sans Pro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urce Sans Pro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ource Sans Pro"/>
        <family val="2"/>
        <scheme val="none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numFmt numFmtId="22" formatCode="mmm\-yy"/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font>
        <name val="Source Sans Pro"/>
        <scheme val="none"/>
      </font>
    </dxf>
    <dxf>
      <numFmt numFmtId="22" formatCode="mmm\-yy"/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165" formatCode="dd/mm/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ource Sans Pro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ource Sans Pro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165" formatCode="dd/mm/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ource Sans Pro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165" formatCode="dd/mm/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ource Sans Pro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ource Sans Pro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ource Sans Pro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numFmt numFmtId="4" formatCode="#,##0.0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numFmt numFmtId="3" formatCode="#,##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8"/>
        </top>
      </border>
    </dxf>
    <dxf>
      <border outline="0">
        <top style="thin">
          <color indexed="64"/>
        </top>
        <bottom style="thin">
          <color theme="8"/>
        </bottom>
      </border>
    </dxf>
    <dxf>
      <font>
        <strike val="0"/>
        <outline val="0"/>
        <shadow val="0"/>
        <u val="none"/>
        <vertAlign val="baseline"/>
        <sz val="10"/>
        <name val="Source Sans Pro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ource Sans Pro"/>
        <family val="2"/>
        <scheme val="none"/>
      </font>
      <fill>
        <patternFill patternType="solid">
          <fgColor theme="8"/>
          <bgColor theme="8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3" formatCode="#,##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3" formatCode="#,##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3" formatCode="#,##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3" formatCode="#,##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3" formatCode="#,##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3" formatCode="#,##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3" formatCode="#,##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3" formatCode="#,##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3" formatCode="#,##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3" formatCode="#,##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3" formatCode="#,##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3" formatCode="#,##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3" formatCode="#,##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3" formatCode="#,##0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3" formatCode="#,##0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19" formatCode="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19" formatCode="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ource Sans Pro"/>
        <family val="2"/>
        <scheme val="none"/>
      </font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ource Sans Pro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ncelot Tavara Portuguez" refreshedDate="46192.689337384261" backgroundQuery="1" createdVersion="7" refreshedVersion="7" minRefreshableVersion="3" recordCount="0" supportSubquery="1" supportAdvancedDrill="1" xr:uid="{229FB088-1BC5-46C7-9505-E2ADCD8FF0AF}">
  <cacheSource type="external" connectionId="1"/>
  <cacheFields count="6">
    <cacheField name="[Data].[Ruc].[Ruc]" caption="Ruc" numFmtId="0" hierarchy="7" level="1">
      <sharedItems containsSemiMixedTypes="0" containsString="0" containsNumber="1" containsInteger="1" minValue="10078853111" maxValue="20616038771" count="45">
        <n v="20615781003"/>
        <n v="10078853111"/>
        <n v="20319956043"/>
        <n v="20560121921"/>
        <n v="20601315603"/>
        <n v="20601929351"/>
        <n v="20611450746"/>
        <n v="20615004899"/>
        <n v="20608135651"/>
        <n v="20605844058"/>
        <n v="20614514338"/>
        <n v="20613702629"/>
        <n v="20615813410"/>
        <n v="20172065598"/>
        <n v="20605346392"/>
        <n v="20612931951"/>
        <n v="20614969564"/>
        <n v="20616038771"/>
        <n v="20569332801"/>
        <n v="20600548663"/>
        <n v="20612526291"/>
        <n v="20614733765"/>
        <n v="10450078323"/>
        <n v="10707664733"/>
        <n v="20509678244"/>
        <n v="20488026641"/>
        <n v="20613633601"/>
        <n v="20603005920"/>
        <n v="20609843277"/>
        <n v="20608926888"/>
        <n v="20609006405"/>
        <n v="20609012197"/>
        <n v="20612784796"/>
        <n v="20613698052"/>
        <n v="20449499540"/>
        <n v="20610507761"/>
        <n v="20613042351"/>
        <n v="20614521997"/>
        <n v="10402573452"/>
        <n v="20535913294"/>
        <n v="20612053384"/>
        <n v="20612334499"/>
        <n v="20614387654"/>
        <n v="20614992868"/>
        <n v="20615897435"/>
      </sharedItems>
    </cacheField>
    <cacheField name="[Data].[Periodo].[Periodo]" caption="Periodo" numFmtId="0" hierarchy="1" level="1">
      <sharedItems containsSemiMixedTypes="0" containsNonDate="0" containsDate="1" containsString="0" minDate="2026-06-01T00:00:00" maxDate="2026-06-02T00:00:00" count="1">
        <d v="2026-06-01T00:00:00"/>
      </sharedItems>
    </cacheField>
    <cacheField name="[Data].[Ejecutivo].[Ejecutivo]" caption="Ejecutivo" numFmtId="0" hierarchy="17" level="1">
      <sharedItems count="17">
        <s v="Angelo Zavala"/>
        <s v="Antoni Sifuentes"/>
        <s v="Billy Villacrez"/>
        <s v="Edinson Chuyes"/>
        <s v="Guadalupe Del Pino"/>
        <s v="Jackeline Matos"/>
        <s v="Jonathan Lavado"/>
        <s v="Jorge Jaimes"/>
        <s v="Jose Mujica"/>
        <s v="Katherine Zuloeta"/>
        <s v="Lin Ley Casique"/>
        <s v="Luigi Castillo"/>
        <s v="Maria Godoy"/>
        <s v="Marlon Martinez"/>
        <s v="Milagros Rocha"/>
        <s v="Nestor Jarama"/>
        <s v="William Cortez"/>
      </sharedItems>
    </cacheField>
    <cacheField name="[Data].[Razón Social].[Razón Social]" caption="Razón Social" numFmtId="0" hierarchy="8" level="1">
      <sharedItems count="45">
        <s v="NEGOCIOS E INVERSIONES MCQH SOCIEDAD ANONIMA CERRADA"/>
        <s v="JIMENEZ RODRIGUEZ JOSE MANUEL"/>
        <s v="UNIVERSIDAD CATOLICA LOS ANGELES DE CHIMBOTE"/>
        <s v="BULL EXPRESS CARGO S.A.C."/>
        <s v="CORPORACION COMERCIAL MARISCAL NIETO SOCIEDAD ANONIMA CERRADA - CORMARISCAL S.A.C."/>
        <s v="EL EMPORIO DE LA BELLEZA S.A.C."/>
        <s v="FELCCOR EMPRESA INDIVIDUAL DE RESPONSABILIDAD LIMITADA"/>
        <s v="DESARROLLO EMPRESARIAL KAIL SOCIEDAD COMERCIAL DE RESPONSABILIDAD LIMITADA"/>
        <s v="ESENCIAS DE BUENOS AIRES SOCIEDAD ANONIMA CERRADA"/>
        <s v="GOGO Z TRADING E.I.R.L."/>
        <s v="S. Y M. GRUPO CORPORACION INTERAMERICANA S.A.C."/>
        <s v="FAVIPESA S.A.C."/>
        <s v="NUVRA BRANDS S.A.C."/>
        <s v="EL VELERO S.A.C."/>
        <s v="ORIGINAL J J S.A.C."/>
        <s v="TECNOLOGIA Y TENDENCIA S.A.C."/>
        <s v="MUNDO FB IMPORT S.A.C."/>
        <s v="NEGOCIOS PINTO E.I.R.L."/>
        <s v="COMPUSOL EIRL"/>
        <s v="COMPUMEX E.I.R.L."/>
        <s v="ANGELA CAFE SAC BIC"/>
        <s v="REYZAN MOTORS GROUP SOCIEDAD ANONIMA CERRADA - REYZAN S.A.C."/>
        <s v="RODRIGUEZ SALINAS ANA ELIZABET"/>
        <s v="BAYONA GAMBINI SAVELY YASHIN"/>
        <s v="MAJOCA SOCIEDAD ANONIMA CERRADA"/>
        <s v="MULTIPLACAS &amp; ACCESORIOS EL HACEDOR S.A.C."/>
        <s v="BAR WASH LOCO BOSH E.I.R.L."/>
        <s v="CORPORACION AMAZONIKA S.A.C"/>
        <s v="GRUPO HOTELERO DORDEAN S.A.C."/>
        <s v="PUIMED COMPANY S.A.C."/>
        <s v="MAGNA BUSINESS S.A.C."/>
        <s v="ASTURIAS BUSINESS S.A.C."/>
        <s v="ASTURIAS FOOD S.A.C."/>
        <s v="ASTURIAS DELIRIUX S.A.C."/>
        <s v="SERVOX S.R.L."/>
        <s v="ASTURIANO E.I.R.L."/>
        <s v="INNOVATECH STORE S.A.C."/>
        <s v="HAN TANG MARKET E.I.R.L."/>
        <s v="BENAVENTE MURILLO MERCEDES PAOLA"/>
        <s v="MAKIBA MOTORS PERU S.A.C."/>
        <s v="SOFTLANDERO S.A.C."/>
        <s v="NEGOCIOS Y RESTAURANTES TURISTICOS MARIA ISABEL S.A.C."/>
        <s v="H Y B HOTELES Y TRANSFERS S.A.C."/>
        <s v="CORPORACION LARREA SOCIEDAD ANONIMA CERRADA"/>
        <s v="SPA BERAUN VINCES S.A.C."/>
      </sharedItems>
    </cacheField>
    <cacheField name="[Data].[Fecha de Instalación].[Fecha de Instalación]" caption="Fecha de Instalación" numFmtId="0" hierarchy="4" level="1">
      <sharedItems containsBlank="1" count="17">
        <s v="2/06/2026"/>
        <s v="4/06/2026"/>
        <s v="16/06/2026"/>
        <m/>
        <s v=""/>
        <s v="11/06/2026"/>
        <s v="3/06/2026"/>
        <s v="8/06/2026"/>
        <s v="9/06/2026"/>
        <s v="18/05/2026"/>
        <s v="15/06/2026"/>
        <s v="1/06/2026"/>
        <s v="12/06/2026"/>
        <s v="6/06/2026"/>
        <s v="17/06/2026"/>
        <s v="17/05/2026"/>
        <s v="5/06/2026"/>
      </sharedItems>
    </cacheField>
    <cacheField name="[Measures].[Suma de Vol M0]" caption="Suma de Vol M0" numFmtId="0" hierarchy="58" level="32767"/>
  </cacheFields>
  <cacheHierarchies count="60">
    <cacheHierarchy uniqueName="[Data].[Código LT]" caption="Código LT" attribute="1" defaultMemberUniqueName="[Data].[Código LT].[All]" allUniqueName="[Data].[Código LT].[All]" dimensionUniqueName="[Data]" displayFolder="" count="0" memberValueDatatype="130" unbalanced="0"/>
    <cacheHierarchy uniqueName="[Data].[Periodo]" caption="Periodo" attribute="1" time="1" defaultMemberUniqueName="[Data].[Periodo].[All]" allUniqueName="[Data].[Periodo].[All]" dimensionUniqueName="[Data]" displayFolder="" count="2" memberValueDatatype="7" unbalanced="0">
      <fieldsUsage count="2">
        <fieldUsage x="-1"/>
        <fieldUsage x="1"/>
      </fieldsUsage>
    </cacheHierarchy>
    <cacheHierarchy uniqueName="[Data].[Mes Izipay]" caption="Mes Izipay" attribute="1" defaultMemberUniqueName="[Data].[Mes Izipay].[All]" allUniqueName="[Data].[Mes Izipay].[All]" dimensionUniqueName="[Data]" displayFolder="" count="0" memberValueDatatype="130" unbalanced="0"/>
    <cacheHierarchy uniqueName="[Data].[Fecha de Ingreso]" caption="Fecha de Ingreso" attribute="1" defaultMemberUniqueName="[Data].[Fecha de Ingreso].[All]" allUniqueName="[Data].[Fecha de Ingreso].[All]" dimensionUniqueName="[Data]" displayFolder="" count="0" memberValueDatatype="130" unbalanced="0"/>
    <cacheHierarchy uniqueName="[Data].[Fecha de Instalación]" caption="Fecha de Instalación" attribute="1" defaultMemberUniqueName="[Data].[Fecha de Instalación].[All]" allUniqueName="[Data].[Fecha de Instalación].[All]" dimensionUniqueName="[Data]" displayFolder="" count="2" memberValueDatatype="130" unbalanced="0">
      <fieldsUsage count="2">
        <fieldUsage x="-1"/>
        <fieldUsage x="4"/>
      </fieldsUsage>
    </cacheHierarchy>
    <cacheHierarchy uniqueName="[Data].[Código]" caption="Código" attribute="1" defaultMemberUniqueName="[Data].[Código].[All]" allUniqueName="[Data].[Código].[All]" dimensionUniqueName="[Data]" displayFolder="" count="0" memberValueDatatype="20" unbalanced="0"/>
    <cacheHierarchy uniqueName="[Data].[Serie]" caption="Serie" attribute="1" defaultMemberUniqueName="[Data].[Serie].[All]" allUniqueName="[Data].[Serie].[All]" dimensionUniqueName="[Data]" displayFolder="" count="0" memberValueDatatype="130" unbalanced="0"/>
    <cacheHierarchy uniqueName="[Data].[Ruc]" caption="Ruc" attribute="1" defaultMemberUniqueName="[Data].[Ruc].[All]" allUniqueName="[Data].[Ruc].[All]" dimensionUniqueName="[Data]" displayFolder="" count="2" memberValueDatatype="5" unbalanced="0">
      <fieldsUsage count="2">
        <fieldUsage x="-1"/>
        <fieldUsage x="0"/>
      </fieldsUsage>
    </cacheHierarchy>
    <cacheHierarchy uniqueName="[Data].[Razón Social]" caption="Razón Social" attribute="1" defaultMemberUniqueName="[Data].[Razón Social].[All]" allUniqueName="[Data].[Razón Social].[All]" dimensionUniqueName="[Data]" displayFolder="" count="2" memberValueDatatype="130" unbalanced="0">
      <fieldsUsage count="2">
        <fieldUsage x="-1"/>
        <fieldUsage x="3"/>
      </fieldsUsage>
    </cacheHierarchy>
    <cacheHierarchy uniqueName="[Data].[Nombre Comercial]" caption="Nombre Comercial" attribute="1" defaultMemberUniqueName="[Data].[Nombre Comercial].[All]" allUniqueName="[Data].[Nombre Comercial].[All]" dimensionUniqueName="[Data]" displayFolder="" count="0" memberValueDatatype="130" unbalanced="0"/>
    <cacheHierarchy uniqueName="[Data].[Estado]" caption="Estado" attribute="1" defaultMemberUniqueName="[Data].[Estado].[All]" allUniqueName="[Data].[Estado].[All]" dimensionUniqueName="[Data]" displayFolder="" count="0" memberValueDatatype="130" unbalanced="0"/>
    <cacheHierarchy uniqueName="[Data].[Estado LT]" caption="Estado LT" attribute="1" defaultMemberUniqueName="[Data].[Estado LT].[All]" allUniqueName="[Data].[Estado LT].[All]" dimensionUniqueName="[Data]" displayFolder="" count="0" memberValueDatatype="130" unbalanced="0"/>
    <cacheHierarchy uniqueName="[Data].[Tipo de Venta]" caption="Tipo de Venta" attribute="1" defaultMemberUniqueName="[Data].[Tipo de Venta].[All]" allUniqueName="[Data].[Tipo de Venta].[All]" dimensionUniqueName="[Data]" displayFolder="" count="0" memberValueDatatype="130" unbalanced="0"/>
    <cacheHierarchy uniqueName="[Data].[Producto]" caption="Producto" attribute="1" defaultMemberUniqueName="[Data].[Producto].[All]" allUniqueName="[Data].[Producto].[All]" dimensionUniqueName="[Data]" displayFolder="" count="0" memberValueDatatype="130" unbalanced="0"/>
    <cacheHierarchy uniqueName="[Data].[Tipo Cliente]" caption="Tipo Cliente" attribute="1" defaultMemberUniqueName="[Data].[Tipo Cliente].[All]" allUniqueName="[Data].[Tipo Cliente].[All]" dimensionUniqueName="[Data]" displayFolder="" count="0" memberValueDatatype="130" unbalanced="0"/>
    <cacheHierarchy uniqueName="[Data].[GPV Mensual]" caption="GPV Mensual" attribute="1" defaultMemberUniqueName="[Data].[GPV Mensual].[All]" allUniqueName="[Data].[GPV Mensual].[All]" dimensionUniqueName="[Data]" displayFolder="" count="0" memberValueDatatype="5" unbalanced="0"/>
    <cacheHierarchy uniqueName="[Data].[GPV Mensual LT]" caption="GPV Mensual LT" attribute="1" defaultMemberUniqueName="[Data].[GPV Mensual LT].[All]" allUniqueName="[Data].[GPV Mensual LT].[All]" dimensionUniqueName="[Data]" displayFolder="" count="0" memberValueDatatype="20" unbalanced="0"/>
    <cacheHierarchy uniqueName="[Data].[Ejecutivo]" caption="Ejecutivo" attribute="1" defaultMemberUniqueName="[Data].[Ejecutivo].[All]" allUniqueName="[Data].[Ejecutivo].[All]" dimensionUniqueName="[Data]" displayFolder="" count="2" memberValueDatatype="130" unbalanced="0">
      <fieldsUsage count="2">
        <fieldUsage x="-1"/>
        <fieldUsage x="2"/>
      </fieldsUsage>
    </cacheHierarchy>
    <cacheHierarchy uniqueName="[Data].[DNI Ejecutivo]" caption="DNI Ejecutivo" attribute="1" defaultMemberUniqueName="[Data].[DNI Ejecutivo].[All]" allUniqueName="[Data].[DNI Ejecutivo].[All]" dimensionUniqueName="[Data]" displayFolder="" count="0" memberValueDatatype="130" unbalanced="0"/>
    <cacheHierarchy uniqueName="[Data].[Correo Ejecutivo]" caption="Correo Ejecutivo" attribute="1" defaultMemberUniqueName="[Data].[Correo Ejecutivo].[All]" allUniqueName="[Data].[Correo Ejecutivo].[All]" dimensionUniqueName="[Data]" displayFolder="" count="0" memberValueDatatype="130" unbalanced="0"/>
    <cacheHierarchy uniqueName="[Data].[Categoría]" caption="Categoría" attribute="1" defaultMemberUniqueName="[Data].[Categoría].[All]" allUniqueName="[Data].[Categoría].[All]" dimensionUniqueName="[Data]" displayFolder="" count="0" memberValueDatatype="130" unbalanced="0"/>
    <cacheHierarchy uniqueName="[Data].[Zona]" caption="Zona" attribute="1" defaultMemberUniqueName="[Data].[Zona].[All]" allUniqueName="[Data].[Zona].[All]" dimensionUniqueName="[Data]" displayFolder="" count="0" memberValueDatatype="130" unbalanced="0"/>
    <cacheHierarchy uniqueName="[Data].[Supervisor]" caption="Supervisor" attribute="1" defaultMemberUniqueName="[Data].[Supervisor].[All]" allUniqueName="[Data].[Supervisor].[All]" dimensionUniqueName="[Data]" displayFolder="" count="0" memberValueDatatype="130" unbalanced="0"/>
    <cacheHierarchy uniqueName="[Data].[Jefatura]" caption="Jefatura" attribute="1" defaultMemberUniqueName="[Data].[Jefatura].[All]" allUniqueName="[Data].[Jefatura].[All]" dimensionUniqueName="[Data]" displayFolder="" count="0" memberValueDatatype="130" unbalanced="0"/>
    <cacheHierarchy uniqueName="[Data].[DNI Supervisor]" caption="DNI Supervisor" attribute="1" defaultMemberUniqueName="[Data].[DNI Supervisor].[All]" allUniqueName="[Data].[DNI Supervisor].[All]" dimensionUniqueName="[Data]" displayFolder="" count="0" memberValueDatatype="130" unbalanced="0"/>
    <cacheHierarchy uniqueName="[Data].[Correo Supervisor]" caption="Correo Supervisor" attribute="1" defaultMemberUniqueName="[Data].[Correo Supervisor].[All]" allUniqueName="[Data].[Correo Supervisor].[All]" dimensionUniqueName="[Data]" displayFolder="" count="0" memberValueDatatype="130" unbalanced="0"/>
    <cacheHierarchy uniqueName="[Data].[DNI Referido]" caption="DNI Referido" attribute="1" defaultMemberUniqueName="[Data].[DNI Referido].[All]" allUniqueName="[Data].[DNI Referido].[All]" dimensionUniqueName="[Data]" displayFolder="" count="0" memberValueDatatype="130" unbalanced="0"/>
    <cacheHierarchy uniqueName="[Data].[Referido]" caption="Referido" attribute="1" defaultMemberUniqueName="[Data].[Referido].[All]" allUniqueName="[Data].[Referido].[All]" dimensionUniqueName="[Data]" displayFolder="" count="0" memberValueDatatype="130" unbalanced="0"/>
    <cacheHierarchy uniqueName="[Data].[Código DNI]" caption="Código DNI" attribute="1" defaultMemberUniqueName="[Data].[Código DNI].[All]" allUniqueName="[Data].[Código DNI].[All]" dimensionUniqueName="[Data]" displayFolder="" count="0" memberValueDatatype="130" unbalanced="0"/>
    <cacheHierarchy uniqueName="[Data].[CIIU]" caption="CIIU" attribute="1" defaultMemberUniqueName="[Data].[CIIU].[All]" allUniqueName="[Data].[CIIU].[All]" dimensionUniqueName="[Data]" displayFolder="" count="0" memberValueDatatype="130" unbalanced="0"/>
    <cacheHierarchy uniqueName="[Data].[Detalle CIIU]" caption="Detalle CIIU" attribute="1" defaultMemberUniqueName="[Data].[Detalle CIIU].[All]" allUniqueName="[Data].[Detalle CIIU].[All]" dimensionUniqueName="[Data]" displayFolder="" count="0" memberValueDatatype="130" unbalanced="0"/>
    <cacheHierarchy uniqueName="[Data].[Vol M0]" caption="Vol M0" attribute="1" defaultMemberUniqueName="[Data].[Vol M0].[All]" allUniqueName="[Data].[Vol M0].[All]" dimensionUniqueName="[Data]" displayFolder="" count="0" memberValueDatatype="5" unbalanced="0"/>
    <cacheHierarchy uniqueName="[Data].[Vol QR M0]" caption="Vol QR M0" attribute="1" defaultMemberUniqueName="[Data].[Vol QR M0].[All]" allUniqueName="[Data].[Vol QR M0].[All]" dimensionUniqueName="[Data]" displayFolder="" count="0" memberValueDatatype="130" unbalanced="0"/>
    <cacheHierarchy uniqueName="[Data].[Vol TJ M0]" caption="Vol TJ M0" attribute="1" defaultMemberUniqueName="[Data].[Vol TJ M0].[All]" allUniqueName="[Data].[Vol TJ M0].[All]" dimensionUniqueName="[Data]" displayFolder="" count="0" memberValueDatatype="130" unbalanced="0"/>
    <cacheHierarchy uniqueName="[Data].[Vol M1]" caption="Vol M1" attribute="1" defaultMemberUniqueName="[Data].[Vol M1].[All]" allUniqueName="[Data].[Vol M1].[All]" dimensionUniqueName="[Data]" displayFolder="" count="0" memberValueDatatype="5" unbalanced="0"/>
    <cacheHierarchy uniqueName="[Data].[Vol QR M1]" caption="Vol QR M1" attribute="1" defaultMemberUniqueName="[Data].[Vol QR M1].[All]" allUniqueName="[Data].[Vol QR M1].[All]" dimensionUniqueName="[Data]" displayFolder="" count="0" memberValueDatatype="130" unbalanced="0"/>
    <cacheHierarchy uniqueName="[Data].[Vol TJ M1]" caption="Vol TJ M1" attribute="1" defaultMemberUniqueName="[Data].[Vol TJ M1].[All]" allUniqueName="[Data].[Vol TJ M1].[All]" dimensionUniqueName="[Data]" displayFolder="" count="0" memberValueDatatype="130" unbalanced="0"/>
    <cacheHierarchy uniqueName="[Data].[Vol M2]" caption="Vol M2" attribute="1" defaultMemberUniqueName="[Data].[Vol M2].[All]" allUniqueName="[Data].[Vol M2].[All]" dimensionUniqueName="[Data]" displayFolder="" count="0" memberValueDatatype="20" unbalanced="0"/>
    <cacheHierarchy uniqueName="[Data].[Vol QR M2]" caption="Vol QR M2" attribute="1" defaultMemberUniqueName="[Data].[Vol QR M2].[All]" allUniqueName="[Data].[Vol QR M2].[All]" dimensionUniqueName="[Data]" displayFolder="" count="0" memberValueDatatype="20" unbalanced="0"/>
    <cacheHierarchy uniqueName="[Data].[Vol TJ M2]" caption="Vol TJ M2" attribute="1" defaultMemberUniqueName="[Data].[Vol TJ M2].[All]" allUniqueName="[Data].[Vol TJ M2].[All]" dimensionUniqueName="[Data]" displayFolder="" count="0" memberValueDatatype="20" unbalanced="0"/>
    <cacheHierarchy uniqueName="[Data].[Vol M3]" caption="Vol M3" attribute="1" defaultMemberUniqueName="[Data].[Vol M3].[All]" allUniqueName="[Data].[Vol M3].[All]" dimensionUniqueName="[Data]" displayFolder="" count="0" memberValueDatatype="20" unbalanced="0"/>
    <cacheHierarchy uniqueName="[Data].[Vol QR M3]" caption="Vol QR M3" attribute="1" defaultMemberUniqueName="[Data].[Vol QR M3].[All]" allUniqueName="[Data].[Vol QR M3].[All]" dimensionUniqueName="[Data]" displayFolder="" count="0" memberValueDatatype="20" unbalanced="0"/>
    <cacheHierarchy uniqueName="[Data].[Vol TJ M3]" caption="Vol TJ M3" attribute="1" defaultMemberUniqueName="[Data].[Vol TJ M3].[All]" allUniqueName="[Data].[Vol TJ M3].[All]" dimensionUniqueName="[Data]" displayFolder="" count="0" memberValueDatatype="20" unbalanced="0"/>
    <cacheHierarchy uniqueName="[Data].[Ruc Activo]" caption="Ruc Activo" attribute="1" defaultMemberUniqueName="[Data].[Ruc Activo].[All]" allUniqueName="[Data].[Ruc Activo].[All]" dimensionUniqueName="[Data]" displayFolder="" count="0" memberValueDatatype="5" unbalanced="0"/>
    <cacheHierarchy uniqueName="[Data].[Periodo (mes)]" caption="Periodo (mes)" attribute="1" defaultMemberUniqueName="[Data].[Periodo (mes)].[All]" allUniqueName="[Data].[Periodo (mes)].[All]" dimensionUniqueName="[Data]" displayFolder="" count="0" memberValueDatatype="130" unbalanced="0"/>
    <cacheHierarchy uniqueName="[Data].[Fecha de Instalación (mes)]" caption="Fecha de Instalación (mes)" attribute="1" defaultMemberUniqueName="[Data].[Fecha de Instalación (mes)].[All]" allUniqueName="[Data].[Fecha de Instalación (mes)].[All]" dimensionUniqueName="[Data]" displayFolder="" count="0" memberValueDatatype="130" unbalanced="0"/>
    <cacheHierarchy uniqueName="[Data].[Fecha de Instalación (índice de meses)]" caption="Fecha de Instalación (índice de meses)" attribute="1" defaultMemberUniqueName="[Data].[Fecha de Instalación (índice de meses)].[All]" allUniqueName="[Data].[Fecha de Instalación (índice de meses)].[All]" dimensionUniqueName="[Data]" displayFolder="" count="0" memberValueDatatype="20" unbalanced="0" hidden="1"/>
    <cacheHierarchy uniqueName="[Data].[Periodo (índice de meses)]" caption="Periodo (índice de meses)" attribute="1" defaultMemberUniqueName="[Data].[Periodo (índice de meses)].[All]" allUniqueName="[Data].[Periodo (índice de meses)].[All]" dimensionUniqueName="[Data]" displayFolder="" count="0" memberValueDatatype="20" unbalanced="0" hidden="1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Suma de Ruc]" caption="Suma de Ruc" measure="1" displayFolder="" measureGroup="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istinto de Ruc]" caption="Recuento distinto de Ruc" measure="1" displayFolder="" measureGroup="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e Ruc]" caption="Recuento de Ruc" measure="1" displayFolder="" measureGroup="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GPV Mensual]" caption="Suma de GPV Mensual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áx. de Ruc]" caption="Máx. de Ruc" measure="1" displayFolder="" measureGroup="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Ruc Activo]" caption="Suma de Ruc Activo" measure="1" displayFolder="" measureGroup="Data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Vol M1]" caption="Suma de Vol M1" measure="1" displayFolder="" measureGroup="Data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Vol M2]" caption="Suma de Vol M2" measure="1" displayFolder="" measureGroup="Data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Vol M0]" caption="Suma de Vol M0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Vol M3]" caption="Suma de Vol M3" measure="1" displayFolder="" measureGroup="Data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ncelot Tavara Portuguez" refreshedDate="46192.707254513887" backgroundQuery="1" createdVersion="7" refreshedVersion="7" minRefreshableVersion="3" recordCount="0" supportSubquery="1" supportAdvancedDrill="1" xr:uid="{0919D483-2F28-40E1-85B2-7B3110E654CF}">
  <cacheSource type="external" connectionId="1"/>
  <cacheFields count="5">
    <cacheField name="[Data].[Ruc].[Ruc]" caption="Ruc" numFmtId="0" hierarchy="7" level="1">
      <sharedItems containsSemiMixedTypes="0" containsString="0" containsNumber="1" containsInteger="1" minValue="10164731435" maxValue="20615727165" count="27">
        <n v="20539185901"/>
        <n v="20614355221"/>
        <n v="20610935932"/>
        <n v="20611402555"/>
        <n v="10164731435"/>
        <n v="20614514338"/>
        <n v="20611972246"/>
        <n v="20613702629"/>
        <n v="20615727165"/>
        <n v="20608874055"/>
        <n v="20612897949"/>
        <n v="20615080901"/>
        <n v="10413980076"/>
        <n v="10477313928"/>
        <n v="20533799401"/>
        <n v="10718173561"/>
        <n v="20611563435"/>
        <n v="20612598780"/>
        <n v="20612913359"/>
        <n v="20613703439"/>
        <n v="20604305102"/>
        <n v="20611374420"/>
        <n v="10424714441"/>
        <n v="20611895110"/>
        <n v="20603692421"/>
        <n v="20615538222"/>
        <n v="20607818526"/>
      </sharedItems>
    </cacheField>
    <cacheField name="[Data].[Periodo].[Periodo]" caption="Periodo" numFmtId="0" hierarchy="1" level="1">
      <sharedItems containsSemiMixedTypes="0" containsNonDate="0" containsDate="1" containsString="0" minDate="2026-05-01T00:00:00" maxDate="2026-05-02T00:00:00" count="1">
        <d v="2026-05-01T00:00:00"/>
      </sharedItems>
    </cacheField>
    <cacheField name="[Data].[Ejecutivo].[Ejecutivo]" caption="Ejecutivo" numFmtId="0" hierarchy="17" level="1">
      <sharedItems count="20">
        <s v="Alberto Chaname"/>
        <s v="Angelo Zavala"/>
        <s v="Antoni Sifuentes"/>
        <s v="Carlos Effio"/>
        <s v="Claudia Negrete"/>
        <s v="Edinson Chuyes"/>
        <s v="Giuliana Hereña"/>
        <s v="Guadalupe Del Pino"/>
        <s v="Jackeline Matos"/>
        <s v="Jonathan Lavado"/>
        <s v="Jorge Jaimes"/>
        <s v="Jose Mujica"/>
        <s v="Katherine Zuloeta"/>
        <s v="Leonardo Torres"/>
        <s v="Maria Godoy"/>
        <s v="Marlon Martinez"/>
        <s v="Milagros Rocha"/>
        <s v="Milagros Zuniga"/>
        <s v="Richard Benites"/>
        <s v="Yessica Ruiz"/>
      </sharedItems>
    </cacheField>
    <cacheField name="[Data].[Razón Social].[Razón Social]" caption="Razón Social" numFmtId="0" hierarchy="8" level="1">
      <sharedItems count="27">
        <s v="JB DIVERSIONES SAC"/>
        <s v="RED GASTRONOMICA S.A.C."/>
        <s v="SERVICIOS GENERALES OPTIMAX E.I.R.L."/>
        <s v="CORPORACION E INVERSIONES QP E.I.R.L."/>
        <s v="CUBAS MANRIQUE VDA DE LAPOINT MARTHA ELENA"/>
        <s v="S. Y M. GRUPO CORPORACION INTERAMERICANA S.A.C."/>
        <s v="CIMDOLOR PERU S.A.C."/>
        <s v="FAVIPESA S.A.C."/>
        <s v="POLLERIAS B3 S.A.C."/>
        <s v="GROALPERU E.I.R.L."/>
        <s v="MIAMI IMPORT RM S.A.C."/>
        <s v="CORPORACION LOBAL S.A.C."/>
        <s v="DAVALOS GUTIERREZ MIRIAN KARINA"/>
        <s v="CASTAÑEDA MARAVI PAMELA DEL PILAR"/>
        <s v="PRB CORPORATION S.R.L."/>
        <s v="MUNDACA INGA KARINA STEFANI"/>
        <s v="ALIMENTOS DEL PEDREGAL S.A.C."/>
        <s v="ANSOF COMPANY S.A.C.S."/>
        <s v="VOLCAN CAPITAL S.A.C.S."/>
        <s v="XNOX GROUP S.A.C.S"/>
        <s v="CHARAPO REPUESTOS &amp; AUTOPARTES E.I.R.L."/>
        <s v="SIX NAVARRO INVERSIONES E.I.R.L."/>
        <s v="CARRION CAVERO LUIS ALBERTO"/>
        <s v="EL HORNITO BAKERY S.A.C."/>
        <s v="DEA CARINA S.A.C."/>
        <s v="D &amp; C GROUP SOLUTIONS S.A.C."/>
        <s v="EUROSPORT AUTOMOTRIZ S.A.C."/>
      </sharedItems>
    </cacheField>
    <cacheField name="[Measures].[Suma de Vol M1]" caption="Suma de Vol M1" numFmtId="0" hierarchy="56" level="32767"/>
  </cacheFields>
  <cacheHierarchies count="60">
    <cacheHierarchy uniqueName="[Data].[Código LT]" caption="Código LT" attribute="1" defaultMemberUniqueName="[Data].[Código LT].[All]" allUniqueName="[Data].[Código LT].[All]" dimensionUniqueName="[Data]" displayFolder="" count="0" memberValueDatatype="130" unbalanced="0"/>
    <cacheHierarchy uniqueName="[Data].[Periodo]" caption="Periodo" attribute="1" time="1" defaultMemberUniqueName="[Data].[Periodo].[All]" allUniqueName="[Data].[Periodo].[All]" dimensionUniqueName="[Data]" displayFolder="" count="2" memberValueDatatype="7" unbalanced="0">
      <fieldsUsage count="2">
        <fieldUsage x="-1"/>
        <fieldUsage x="1"/>
      </fieldsUsage>
    </cacheHierarchy>
    <cacheHierarchy uniqueName="[Data].[Mes Izipay]" caption="Mes Izipay" attribute="1" defaultMemberUniqueName="[Data].[Mes Izipay].[All]" allUniqueName="[Data].[Mes Izipay].[All]" dimensionUniqueName="[Data]" displayFolder="" count="0" memberValueDatatype="130" unbalanced="0"/>
    <cacheHierarchy uniqueName="[Data].[Fecha de Ingreso]" caption="Fecha de Ingreso" attribute="1" defaultMemberUniqueName="[Data].[Fecha de Ingreso].[All]" allUniqueName="[Data].[Fecha de Ingreso].[All]" dimensionUniqueName="[Data]" displayFolder="" count="0" memberValueDatatype="130" unbalanced="0"/>
    <cacheHierarchy uniqueName="[Data].[Fecha de Instalación]" caption="Fecha de Instalación" attribute="1" defaultMemberUniqueName="[Data].[Fecha de Instalación].[All]" allUniqueName="[Data].[Fecha de Instalación].[All]" dimensionUniqueName="[Data]" displayFolder="" count="0" memberValueDatatype="130" unbalanced="0"/>
    <cacheHierarchy uniqueName="[Data].[Código]" caption="Código" attribute="1" defaultMemberUniqueName="[Data].[Código].[All]" allUniqueName="[Data].[Código].[All]" dimensionUniqueName="[Data]" displayFolder="" count="0" memberValueDatatype="20" unbalanced="0"/>
    <cacheHierarchy uniqueName="[Data].[Serie]" caption="Serie" attribute="1" defaultMemberUniqueName="[Data].[Serie].[All]" allUniqueName="[Data].[Serie].[All]" dimensionUniqueName="[Data]" displayFolder="" count="0" memberValueDatatype="130" unbalanced="0"/>
    <cacheHierarchy uniqueName="[Data].[Ruc]" caption="Ruc" attribute="1" defaultMemberUniqueName="[Data].[Ruc].[All]" allUniqueName="[Data].[Ruc].[All]" dimensionUniqueName="[Data]" displayFolder="" count="2" memberValueDatatype="5" unbalanced="0">
      <fieldsUsage count="2">
        <fieldUsage x="-1"/>
        <fieldUsage x="0"/>
      </fieldsUsage>
    </cacheHierarchy>
    <cacheHierarchy uniqueName="[Data].[Razón Social]" caption="Razón Social" attribute="1" defaultMemberUniqueName="[Data].[Razón Social].[All]" allUniqueName="[Data].[Razón Social].[All]" dimensionUniqueName="[Data]" displayFolder="" count="2" memberValueDatatype="130" unbalanced="0">
      <fieldsUsage count="2">
        <fieldUsage x="-1"/>
        <fieldUsage x="3"/>
      </fieldsUsage>
    </cacheHierarchy>
    <cacheHierarchy uniqueName="[Data].[Nombre Comercial]" caption="Nombre Comercial" attribute="1" defaultMemberUniqueName="[Data].[Nombre Comercial].[All]" allUniqueName="[Data].[Nombre Comercial].[All]" dimensionUniqueName="[Data]" displayFolder="" count="0" memberValueDatatype="130" unbalanced="0"/>
    <cacheHierarchy uniqueName="[Data].[Estado]" caption="Estado" attribute="1" defaultMemberUniqueName="[Data].[Estado].[All]" allUniqueName="[Data].[Estado].[All]" dimensionUniqueName="[Data]" displayFolder="" count="0" memberValueDatatype="130" unbalanced="0"/>
    <cacheHierarchy uniqueName="[Data].[Estado LT]" caption="Estado LT" attribute="1" defaultMemberUniqueName="[Data].[Estado LT].[All]" allUniqueName="[Data].[Estado LT].[All]" dimensionUniqueName="[Data]" displayFolder="" count="0" memberValueDatatype="130" unbalanced="0"/>
    <cacheHierarchy uniqueName="[Data].[Tipo de Venta]" caption="Tipo de Venta" attribute="1" defaultMemberUniqueName="[Data].[Tipo de Venta].[All]" allUniqueName="[Data].[Tipo de Venta].[All]" dimensionUniqueName="[Data]" displayFolder="" count="0" memberValueDatatype="130" unbalanced="0"/>
    <cacheHierarchy uniqueName="[Data].[Producto]" caption="Producto" attribute="1" defaultMemberUniqueName="[Data].[Producto].[All]" allUniqueName="[Data].[Producto].[All]" dimensionUniqueName="[Data]" displayFolder="" count="0" memberValueDatatype="130" unbalanced="0"/>
    <cacheHierarchy uniqueName="[Data].[Tipo Cliente]" caption="Tipo Cliente" attribute="1" defaultMemberUniqueName="[Data].[Tipo Cliente].[All]" allUniqueName="[Data].[Tipo Cliente].[All]" dimensionUniqueName="[Data]" displayFolder="" count="0" memberValueDatatype="130" unbalanced="0"/>
    <cacheHierarchy uniqueName="[Data].[GPV Mensual]" caption="GPV Mensual" attribute="1" defaultMemberUniqueName="[Data].[GPV Mensual].[All]" allUniqueName="[Data].[GPV Mensual].[All]" dimensionUniqueName="[Data]" displayFolder="" count="0" memberValueDatatype="5" unbalanced="0"/>
    <cacheHierarchy uniqueName="[Data].[GPV Mensual LT]" caption="GPV Mensual LT" attribute="1" defaultMemberUniqueName="[Data].[GPV Mensual LT].[All]" allUniqueName="[Data].[GPV Mensual LT].[All]" dimensionUniqueName="[Data]" displayFolder="" count="0" memberValueDatatype="20" unbalanced="0"/>
    <cacheHierarchy uniqueName="[Data].[Ejecutivo]" caption="Ejecutivo" attribute="1" defaultMemberUniqueName="[Data].[Ejecutivo].[All]" allUniqueName="[Data].[Ejecutivo].[All]" dimensionUniqueName="[Data]" displayFolder="" count="2" memberValueDatatype="130" unbalanced="0">
      <fieldsUsage count="2">
        <fieldUsage x="-1"/>
        <fieldUsage x="2"/>
      </fieldsUsage>
    </cacheHierarchy>
    <cacheHierarchy uniqueName="[Data].[DNI Ejecutivo]" caption="DNI Ejecutivo" attribute="1" defaultMemberUniqueName="[Data].[DNI Ejecutivo].[All]" allUniqueName="[Data].[DNI Ejecutivo].[All]" dimensionUniqueName="[Data]" displayFolder="" count="0" memberValueDatatype="130" unbalanced="0"/>
    <cacheHierarchy uniqueName="[Data].[Correo Ejecutivo]" caption="Correo Ejecutivo" attribute="1" defaultMemberUniqueName="[Data].[Correo Ejecutivo].[All]" allUniqueName="[Data].[Correo Ejecutivo].[All]" dimensionUniqueName="[Data]" displayFolder="" count="0" memberValueDatatype="130" unbalanced="0"/>
    <cacheHierarchy uniqueName="[Data].[Categoría]" caption="Categoría" attribute="1" defaultMemberUniqueName="[Data].[Categoría].[All]" allUniqueName="[Data].[Categoría].[All]" dimensionUniqueName="[Data]" displayFolder="" count="0" memberValueDatatype="130" unbalanced="0"/>
    <cacheHierarchy uniqueName="[Data].[Zona]" caption="Zona" attribute="1" defaultMemberUniqueName="[Data].[Zona].[All]" allUniqueName="[Data].[Zona].[All]" dimensionUniqueName="[Data]" displayFolder="" count="0" memberValueDatatype="130" unbalanced="0"/>
    <cacheHierarchy uniqueName="[Data].[Supervisor]" caption="Supervisor" attribute="1" defaultMemberUniqueName="[Data].[Supervisor].[All]" allUniqueName="[Data].[Supervisor].[All]" dimensionUniqueName="[Data]" displayFolder="" count="0" memberValueDatatype="130" unbalanced="0"/>
    <cacheHierarchy uniqueName="[Data].[Jefatura]" caption="Jefatura" attribute="1" defaultMemberUniqueName="[Data].[Jefatura].[All]" allUniqueName="[Data].[Jefatura].[All]" dimensionUniqueName="[Data]" displayFolder="" count="0" memberValueDatatype="130" unbalanced="0"/>
    <cacheHierarchy uniqueName="[Data].[DNI Supervisor]" caption="DNI Supervisor" attribute="1" defaultMemberUniqueName="[Data].[DNI Supervisor].[All]" allUniqueName="[Data].[DNI Supervisor].[All]" dimensionUniqueName="[Data]" displayFolder="" count="0" memberValueDatatype="130" unbalanced="0"/>
    <cacheHierarchy uniqueName="[Data].[Correo Supervisor]" caption="Correo Supervisor" attribute="1" defaultMemberUniqueName="[Data].[Correo Supervisor].[All]" allUniqueName="[Data].[Correo Supervisor].[All]" dimensionUniqueName="[Data]" displayFolder="" count="0" memberValueDatatype="130" unbalanced="0"/>
    <cacheHierarchy uniqueName="[Data].[DNI Referido]" caption="DNI Referido" attribute="1" defaultMemberUniqueName="[Data].[DNI Referido].[All]" allUniqueName="[Data].[DNI Referido].[All]" dimensionUniqueName="[Data]" displayFolder="" count="0" memberValueDatatype="130" unbalanced="0"/>
    <cacheHierarchy uniqueName="[Data].[Referido]" caption="Referido" attribute="1" defaultMemberUniqueName="[Data].[Referido].[All]" allUniqueName="[Data].[Referido].[All]" dimensionUniqueName="[Data]" displayFolder="" count="0" memberValueDatatype="130" unbalanced="0"/>
    <cacheHierarchy uniqueName="[Data].[Código DNI]" caption="Código DNI" attribute="1" defaultMemberUniqueName="[Data].[Código DNI].[All]" allUniqueName="[Data].[Código DNI].[All]" dimensionUniqueName="[Data]" displayFolder="" count="0" memberValueDatatype="130" unbalanced="0"/>
    <cacheHierarchy uniqueName="[Data].[CIIU]" caption="CIIU" attribute="1" defaultMemberUniqueName="[Data].[CIIU].[All]" allUniqueName="[Data].[CIIU].[All]" dimensionUniqueName="[Data]" displayFolder="" count="0" memberValueDatatype="130" unbalanced="0"/>
    <cacheHierarchy uniqueName="[Data].[Detalle CIIU]" caption="Detalle CIIU" attribute="1" defaultMemberUniqueName="[Data].[Detalle CIIU].[All]" allUniqueName="[Data].[Detalle CIIU].[All]" dimensionUniqueName="[Data]" displayFolder="" count="0" memberValueDatatype="130" unbalanced="0"/>
    <cacheHierarchy uniqueName="[Data].[Vol M0]" caption="Vol M0" attribute="1" defaultMemberUniqueName="[Data].[Vol M0].[All]" allUniqueName="[Data].[Vol M0].[All]" dimensionUniqueName="[Data]" displayFolder="" count="0" memberValueDatatype="5" unbalanced="0"/>
    <cacheHierarchy uniqueName="[Data].[Vol QR M0]" caption="Vol QR M0" attribute="1" defaultMemberUniqueName="[Data].[Vol QR M0].[All]" allUniqueName="[Data].[Vol QR M0].[All]" dimensionUniqueName="[Data]" displayFolder="" count="0" memberValueDatatype="130" unbalanced="0"/>
    <cacheHierarchy uniqueName="[Data].[Vol TJ M0]" caption="Vol TJ M0" attribute="1" defaultMemberUniqueName="[Data].[Vol TJ M0].[All]" allUniqueName="[Data].[Vol TJ M0].[All]" dimensionUniqueName="[Data]" displayFolder="" count="0" memberValueDatatype="130" unbalanced="0"/>
    <cacheHierarchy uniqueName="[Data].[Vol M1]" caption="Vol M1" attribute="1" defaultMemberUniqueName="[Data].[Vol M1].[All]" allUniqueName="[Data].[Vol M1].[All]" dimensionUniqueName="[Data]" displayFolder="" count="0" memberValueDatatype="5" unbalanced="0"/>
    <cacheHierarchy uniqueName="[Data].[Vol QR M1]" caption="Vol QR M1" attribute="1" defaultMemberUniqueName="[Data].[Vol QR M1].[All]" allUniqueName="[Data].[Vol QR M1].[All]" dimensionUniqueName="[Data]" displayFolder="" count="0" memberValueDatatype="130" unbalanced="0"/>
    <cacheHierarchy uniqueName="[Data].[Vol TJ M1]" caption="Vol TJ M1" attribute="1" defaultMemberUniqueName="[Data].[Vol TJ M1].[All]" allUniqueName="[Data].[Vol TJ M1].[All]" dimensionUniqueName="[Data]" displayFolder="" count="0" memberValueDatatype="130" unbalanced="0"/>
    <cacheHierarchy uniqueName="[Data].[Vol M2]" caption="Vol M2" attribute="1" defaultMemberUniqueName="[Data].[Vol M2].[All]" allUniqueName="[Data].[Vol M2].[All]" dimensionUniqueName="[Data]" displayFolder="" count="0" memberValueDatatype="20" unbalanced="0"/>
    <cacheHierarchy uniqueName="[Data].[Vol QR M2]" caption="Vol QR M2" attribute="1" defaultMemberUniqueName="[Data].[Vol QR M2].[All]" allUniqueName="[Data].[Vol QR M2].[All]" dimensionUniqueName="[Data]" displayFolder="" count="0" memberValueDatatype="20" unbalanced="0"/>
    <cacheHierarchy uniqueName="[Data].[Vol TJ M2]" caption="Vol TJ M2" attribute="1" defaultMemberUniqueName="[Data].[Vol TJ M2].[All]" allUniqueName="[Data].[Vol TJ M2].[All]" dimensionUniqueName="[Data]" displayFolder="" count="0" memberValueDatatype="20" unbalanced="0"/>
    <cacheHierarchy uniqueName="[Data].[Vol M3]" caption="Vol M3" attribute="1" defaultMemberUniqueName="[Data].[Vol M3].[All]" allUniqueName="[Data].[Vol M3].[All]" dimensionUniqueName="[Data]" displayFolder="" count="0" memberValueDatatype="20" unbalanced="0"/>
    <cacheHierarchy uniqueName="[Data].[Vol QR M3]" caption="Vol QR M3" attribute="1" defaultMemberUniqueName="[Data].[Vol QR M3].[All]" allUniqueName="[Data].[Vol QR M3].[All]" dimensionUniqueName="[Data]" displayFolder="" count="0" memberValueDatatype="20" unbalanced="0"/>
    <cacheHierarchy uniqueName="[Data].[Vol TJ M3]" caption="Vol TJ M3" attribute="1" defaultMemberUniqueName="[Data].[Vol TJ M3].[All]" allUniqueName="[Data].[Vol TJ M3].[All]" dimensionUniqueName="[Data]" displayFolder="" count="0" memberValueDatatype="20" unbalanced="0"/>
    <cacheHierarchy uniqueName="[Data].[Ruc Activo]" caption="Ruc Activo" attribute="1" defaultMemberUniqueName="[Data].[Ruc Activo].[All]" allUniqueName="[Data].[Ruc Activo].[All]" dimensionUniqueName="[Data]" displayFolder="" count="0" memberValueDatatype="5" unbalanced="0"/>
    <cacheHierarchy uniqueName="[Data].[Periodo (mes)]" caption="Periodo (mes)" attribute="1" defaultMemberUniqueName="[Data].[Periodo (mes)].[All]" allUniqueName="[Data].[Periodo (mes)].[All]" dimensionUniqueName="[Data]" displayFolder="" count="0" memberValueDatatype="130" unbalanced="0"/>
    <cacheHierarchy uniqueName="[Data].[Fecha de Instalación (mes)]" caption="Fecha de Instalación (mes)" attribute="1" defaultMemberUniqueName="[Data].[Fecha de Instalación (mes)].[All]" allUniqueName="[Data].[Fecha de Instalación (mes)].[All]" dimensionUniqueName="[Data]" displayFolder="" count="0" memberValueDatatype="130" unbalanced="0"/>
    <cacheHierarchy uniqueName="[Data].[Fecha de Instalación (índice de meses)]" caption="Fecha de Instalación (índice de meses)" attribute="1" defaultMemberUniqueName="[Data].[Fecha de Instalación (índice de meses)].[All]" allUniqueName="[Data].[Fecha de Instalación (índice de meses)].[All]" dimensionUniqueName="[Data]" displayFolder="" count="0" memberValueDatatype="20" unbalanced="0" hidden="1"/>
    <cacheHierarchy uniqueName="[Data].[Periodo (índice de meses)]" caption="Periodo (índice de meses)" attribute="1" defaultMemberUniqueName="[Data].[Periodo (índice de meses)].[All]" allUniqueName="[Data].[Periodo (índice de meses)].[All]" dimensionUniqueName="[Data]" displayFolder="" count="0" memberValueDatatype="20" unbalanced="0" hidden="1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Suma de Ruc]" caption="Suma de Ruc" measure="1" displayFolder="" measureGroup="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istinto de Ruc]" caption="Recuento distinto de Ruc" measure="1" displayFolder="" measureGroup="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e Ruc]" caption="Recuento de Ruc" measure="1" displayFolder="" measureGroup="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GPV Mensual]" caption="Suma de GPV Mensual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áx. de Ruc]" caption="Máx. de Ruc" measure="1" displayFolder="" measureGroup="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Ruc Activo]" caption="Suma de Ruc Activo" measure="1" displayFolder="" measureGroup="Data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Vol M1]" caption="Suma de Vol M1" measure="1" displayFolder="" measureGroup="Data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Vol M2]" caption="Suma de Vol M2" measure="1" displayFolder="" measureGroup="Data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Vol M0]" caption="Suma de Vol M0" measure="1" displayFolder="" measureGroup="Data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Vol M3]" caption="Suma de Vol M3" measure="1" displayFolder="" measureGroup="Data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ncelot Tavara Portuguez" refreshedDate="46192.707256134257" backgroundQuery="1" createdVersion="7" refreshedVersion="7" minRefreshableVersion="3" recordCount="0" supportSubquery="1" supportAdvancedDrill="1" xr:uid="{1F9A2599-4840-4F8F-91DD-7A7A1640CECA}">
  <cacheSource type="external" connectionId="1"/>
  <cacheFields count="9">
    <cacheField name="[Data].[Periodo].[Periodo]" caption="Periodo" numFmtId="0" hierarchy="1" level="1">
      <sharedItems containsSemiMixedTypes="0" containsNonDate="0" containsDate="1" containsString="0" minDate="2026-05-01T00:00:00" maxDate="2026-06-02T00:00:00" count="2">
        <d v="2026-05-01T00:00:00"/>
        <d v="2026-06-01T00:00:00"/>
      </sharedItems>
    </cacheField>
    <cacheField name="[Measures].[Recuento distinto de Ruc]" caption="Recuento distinto de Ruc" numFmtId="0" hierarchy="51" level="32767"/>
    <cacheField name="[Measures].[Recuento de Ruc]" caption="Recuento de Ruc" numFmtId="0" hierarchy="52" level="32767"/>
    <cacheField name="[Data].[Ejecutivo].[Ejecutivo]" caption="Ejecutivo" numFmtId="0" hierarchy="17" level="1">
      <sharedItems count="25">
        <s v="Alberto Chaname"/>
        <s v="Angelo Zavala"/>
        <s v="Antoni Sifuentes"/>
        <s v="Carlos Effio"/>
        <s v="Claudia Negrete"/>
        <s v="Edinson Chuyes"/>
        <s v="Giuliana Hereña"/>
        <s v="Guadalupe Del Pino"/>
        <s v="Jackeline Matos"/>
        <s v="Jonathan Lavado"/>
        <s v="Jorge Jaimes"/>
        <s v="Jose Mujica"/>
        <s v="Katherine Zuloeta"/>
        <s v="Leonardo Torres"/>
        <s v="Maria Godoy"/>
        <s v="Marlon Martinez"/>
        <s v="Milagros Rocha"/>
        <s v="Milagros Zuniga"/>
        <s v="Richard Benites"/>
        <s v="Yessica Ruiz"/>
        <s v="Billy Villacrez"/>
        <s v="Lin Ley Casique"/>
        <s v="Luigi Castillo"/>
        <s v="Nestor Jarama"/>
        <s v="William Cortez"/>
      </sharedItems>
    </cacheField>
    <cacheField name="[Measures].[Suma de Ruc Activo]" caption="Suma de Ruc Activo" numFmtId="0" hierarchy="55" level="32767"/>
    <cacheField name="[Measures].[Suma de Vol M0]" caption="Suma de Vol M0" numFmtId="0" hierarchy="58" level="32767"/>
    <cacheField name="[Measures].[Suma de Vol M1]" caption="Suma de Vol M1" numFmtId="0" hierarchy="56" level="32767"/>
    <cacheField name="[Measures].[Suma de Vol M2]" caption="Suma de Vol M2" numFmtId="0" hierarchy="57" level="32767"/>
    <cacheField name="[Measures].[Suma de Vol M3]" caption="Suma de Vol M3" numFmtId="0" hierarchy="59" level="32767"/>
  </cacheFields>
  <cacheHierarchies count="60">
    <cacheHierarchy uniqueName="[Data].[Código LT]" caption="Código LT" attribute="1" defaultMemberUniqueName="[Data].[Código LT].[All]" allUniqueName="[Data].[Código LT].[All]" dimensionUniqueName="[Data]" displayFolder="" count="0" memberValueDatatype="130" unbalanced="0"/>
    <cacheHierarchy uniqueName="[Data].[Periodo]" caption="Periodo" attribute="1" time="1" defaultMemberUniqueName="[Data].[Periodo].[All]" allUniqueName="[Data].[Periodo].[All]" dimensionUniqueName="[Data]" displayFolder="" count="2" memberValueDatatype="7" unbalanced="0">
      <fieldsUsage count="2">
        <fieldUsage x="-1"/>
        <fieldUsage x="0"/>
      </fieldsUsage>
    </cacheHierarchy>
    <cacheHierarchy uniqueName="[Data].[Mes Izipay]" caption="Mes Izipay" attribute="1" defaultMemberUniqueName="[Data].[Mes Izipay].[All]" allUniqueName="[Data].[Mes Izipay].[All]" dimensionUniqueName="[Data]" displayFolder="" count="0" memberValueDatatype="130" unbalanced="0"/>
    <cacheHierarchy uniqueName="[Data].[Fecha de Ingreso]" caption="Fecha de Ingreso" attribute="1" defaultMemberUniqueName="[Data].[Fecha de Ingreso].[All]" allUniqueName="[Data].[Fecha de Ingreso].[All]" dimensionUniqueName="[Data]" displayFolder="" count="0" memberValueDatatype="130" unbalanced="0"/>
    <cacheHierarchy uniqueName="[Data].[Fecha de Instalación]" caption="Fecha de Instalación" attribute="1" defaultMemberUniqueName="[Data].[Fecha de Instalación].[All]" allUniqueName="[Data].[Fecha de Instalación].[All]" dimensionUniqueName="[Data]" displayFolder="" count="0" memberValueDatatype="130" unbalanced="0"/>
    <cacheHierarchy uniqueName="[Data].[Código]" caption="Código" attribute="1" defaultMemberUniqueName="[Data].[Código].[All]" allUniqueName="[Data].[Código].[All]" dimensionUniqueName="[Data]" displayFolder="" count="0" memberValueDatatype="20" unbalanced="0"/>
    <cacheHierarchy uniqueName="[Data].[Serie]" caption="Serie" attribute="1" defaultMemberUniqueName="[Data].[Serie].[All]" allUniqueName="[Data].[Serie].[All]" dimensionUniqueName="[Data]" displayFolder="" count="0" memberValueDatatype="130" unbalanced="0"/>
    <cacheHierarchy uniqueName="[Data].[Ruc]" caption="Ruc" attribute="1" defaultMemberUniqueName="[Data].[Ruc].[All]" allUniqueName="[Data].[Ruc].[All]" dimensionUniqueName="[Data]" displayFolder="" count="0" memberValueDatatype="5" unbalanced="0"/>
    <cacheHierarchy uniqueName="[Data].[Razón Social]" caption="Razón Social" attribute="1" defaultMemberUniqueName="[Data].[Razón Social].[All]" allUniqueName="[Data].[Razón Social].[All]" dimensionUniqueName="[Data]" displayFolder="" count="0" memberValueDatatype="130" unbalanced="0"/>
    <cacheHierarchy uniqueName="[Data].[Nombre Comercial]" caption="Nombre Comercial" attribute="1" defaultMemberUniqueName="[Data].[Nombre Comercial].[All]" allUniqueName="[Data].[Nombre Comercial].[All]" dimensionUniqueName="[Data]" displayFolder="" count="0" memberValueDatatype="130" unbalanced="0"/>
    <cacheHierarchy uniqueName="[Data].[Estado]" caption="Estado" attribute="1" defaultMemberUniqueName="[Data].[Estado].[All]" allUniqueName="[Data].[Estado].[All]" dimensionUniqueName="[Data]" displayFolder="" count="0" memberValueDatatype="130" unbalanced="0"/>
    <cacheHierarchy uniqueName="[Data].[Estado LT]" caption="Estado LT" attribute="1" defaultMemberUniqueName="[Data].[Estado LT].[All]" allUniqueName="[Data].[Estado LT].[All]" dimensionUniqueName="[Data]" displayFolder="" count="0" memberValueDatatype="130" unbalanced="0"/>
    <cacheHierarchy uniqueName="[Data].[Tipo de Venta]" caption="Tipo de Venta" attribute="1" defaultMemberUniqueName="[Data].[Tipo de Venta].[All]" allUniqueName="[Data].[Tipo de Venta].[All]" dimensionUniqueName="[Data]" displayFolder="" count="0" memberValueDatatype="130" unbalanced="0"/>
    <cacheHierarchy uniqueName="[Data].[Producto]" caption="Producto" attribute="1" defaultMemberUniqueName="[Data].[Producto].[All]" allUniqueName="[Data].[Producto].[All]" dimensionUniqueName="[Data]" displayFolder="" count="0" memberValueDatatype="130" unbalanced="0"/>
    <cacheHierarchy uniqueName="[Data].[Tipo Cliente]" caption="Tipo Cliente" attribute="1" defaultMemberUniqueName="[Data].[Tipo Cliente].[All]" allUniqueName="[Data].[Tipo Cliente].[All]" dimensionUniqueName="[Data]" displayFolder="" count="0" memberValueDatatype="130" unbalanced="0"/>
    <cacheHierarchy uniqueName="[Data].[GPV Mensual]" caption="GPV Mensual" attribute="1" defaultMemberUniqueName="[Data].[GPV Mensual].[All]" allUniqueName="[Data].[GPV Mensual].[All]" dimensionUniqueName="[Data]" displayFolder="" count="0" memberValueDatatype="5" unbalanced="0"/>
    <cacheHierarchy uniqueName="[Data].[GPV Mensual LT]" caption="GPV Mensual LT" attribute="1" defaultMemberUniqueName="[Data].[GPV Mensual LT].[All]" allUniqueName="[Data].[GPV Mensual LT].[All]" dimensionUniqueName="[Data]" displayFolder="" count="0" memberValueDatatype="20" unbalanced="0"/>
    <cacheHierarchy uniqueName="[Data].[Ejecutivo]" caption="Ejecutivo" attribute="1" defaultMemberUniqueName="[Data].[Ejecutivo].[All]" allUniqueName="[Data].[Ejecutivo].[All]" dimensionUniqueName="[Data]" displayFolder="" count="2" memberValueDatatype="130" unbalanced="0">
      <fieldsUsage count="2">
        <fieldUsage x="-1"/>
        <fieldUsage x="3"/>
      </fieldsUsage>
    </cacheHierarchy>
    <cacheHierarchy uniqueName="[Data].[DNI Ejecutivo]" caption="DNI Ejecutivo" attribute="1" defaultMemberUniqueName="[Data].[DNI Ejecutivo].[All]" allUniqueName="[Data].[DNI Ejecutivo].[All]" dimensionUniqueName="[Data]" displayFolder="" count="0" memberValueDatatype="130" unbalanced="0"/>
    <cacheHierarchy uniqueName="[Data].[Correo Ejecutivo]" caption="Correo Ejecutivo" attribute="1" defaultMemberUniqueName="[Data].[Correo Ejecutivo].[All]" allUniqueName="[Data].[Correo Ejecutivo].[All]" dimensionUniqueName="[Data]" displayFolder="" count="0" memberValueDatatype="130" unbalanced="0"/>
    <cacheHierarchy uniqueName="[Data].[Categoría]" caption="Categoría" attribute="1" defaultMemberUniqueName="[Data].[Categoría].[All]" allUniqueName="[Data].[Categoría].[All]" dimensionUniqueName="[Data]" displayFolder="" count="0" memberValueDatatype="130" unbalanced="0"/>
    <cacheHierarchy uniqueName="[Data].[Zona]" caption="Zona" attribute="1" defaultMemberUniqueName="[Data].[Zona].[All]" allUniqueName="[Data].[Zona].[All]" dimensionUniqueName="[Data]" displayFolder="" count="0" memberValueDatatype="130" unbalanced="0"/>
    <cacheHierarchy uniqueName="[Data].[Supervisor]" caption="Supervisor" attribute="1" defaultMemberUniqueName="[Data].[Supervisor].[All]" allUniqueName="[Data].[Supervisor].[All]" dimensionUniqueName="[Data]" displayFolder="" count="0" memberValueDatatype="130" unbalanced="0"/>
    <cacheHierarchy uniqueName="[Data].[Jefatura]" caption="Jefatura" attribute="1" defaultMemberUniqueName="[Data].[Jefatura].[All]" allUniqueName="[Data].[Jefatura].[All]" dimensionUniqueName="[Data]" displayFolder="" count="0" memberValueDatatype="130" unbalanced="0"/>
    <cacheHierarchy uniqueName="[Data].[DNI Supervisor]" caption="DNI Supervisor" attribute="1" defaultMemberUniqueName="[Data].[DNI Supervisor].[All]" allUniqueName="[Data].[DNI Supervisor].[All]" dimensionUniqueName="[Data]" displayFolder="" count="0" memberValueDatatype="130" unbalanced="0"/>
    <cacheHierarchy uniqueName="[Data].[Correo Supervisor]" caption="Correo Supervisor" attribute="1" defaultMemberUniqueName="[Data].[Correo Supervisor].[All]" allUniqueName="[Data].[Correo Supervisor].[All]" dimensionUniqueName="[Data]" displayFolder="" count="0" memberValueDatatype="130" unbalanced="0"/>
    <cacheHierarchy uniqueName="[Data].[DNI Referido]" caption="DNI Referido" attribute="1" defaultMemberUniqueName="[Data].[DNI Referido].[All]" allUniqueName="[Data].[DNI Referido].[All]" dimensionUniqueName="[Data]" displayFolder="" count="0" memberValueDatatype="130" unbalanced="0"/>
    <cacheHierarchy uniqueName="[Data].[Referido]" caption="Referido" attribute="1" defaultMemberUniqueName="[Data].[Referido].[All]" allUniqueName="[Data].[Referido].[All]" dimensionUniqueName="[Data]" displayFolder="" count="0" memberValueDatatype="130" unbalanced="0"/>
    <cacheHierarchy uniqueName="[Data].[Código DNI]" caption="Código DNI" attribute="1" defaultMemberUniqueName="[Data].[Código DNI].[All]" allUniqueName="[Data].[Código DNI].[All]" dimensionUniqueName="[Data]" displayFolder="" count="0" memberValueDatatype="130" unbalanced="0"/>
    <cacheHierarchy uniqueName="[Data].[CIIU]" caption="CIIU" attribute="1" defaultMemberUniqueName="[Data].[CIIU].[All]" allUniqueName="[Data].[CIIU].[All]" dimensionUniqueName="[Data]" displayFolder="" count="0" memberValueDatatype="130" unbalanced="0"/>
    <cacheHierarchy uniqueName="[Data].[Detalle CIIU]" caption="Detalle CIIU" attribute="1" defaultMemberUniqueName="[Data].[Detalle CIIU].[All]" allUniqueName="[Data].[Detalle CIIU].[All]" dimensionUniqueName="[Data]" displayFolder="" count="0" memberValueDatatype="130" unbalanced="0"/>
    <cacheHierarchy uniqueName="[Data].[Vol M0]" caption="Vol M0" attribute="1" defaultMemberUniqueName="[Data].[Vol M0].[All]" allUniqueName="[Data].[Vol M0].[All]" dimensionUniqueName="[Data]" displayFolder="" count="0" memberValueDatatype="5" unbalanced="0"/>
    <cacheHierarchy uniqueName="[Data].[Vol QR M0]" caption="Vol QR M0" attribute="1" defaultMemberUniqueName="[Data].[Vol QR M0].[All]" allUniqueName="[Data].[Vol QR M0].[All]" dimensionUniqueName="[Data]" displayFolder="" count="0" memberValueDatatype="130" unbalanced="0"/>
    <cacheHierarchy uniqueName="[Data].[Vol TJ M0]" caption="Vol TJ M0" attribute="1" defaultMemberUniqueName="[Data].[Vol TJ M0].[All]" allUniqueName="[Data].[Vol TJ M0].[All]" dimensionUniqueName="[Data]" displayFolder="" count="0" memberValueDatatype="130" unbalanced="0"/>
    <cacheHierarchy uniqueName="[Data].[Vol M1]" caption="Vol M1" attribute="1" defaultMemberUniqueName="[Data].[Vol M1].[All]" allUniqueName="[Data].[Vol M1].[All]" dimensionUniqueName="[Data]" displayFolder="" count="0" memberValueDatatype="5" unbalanced="0"/>
    <cacheHierarchy uniqueName="[Data].[Vol QR M1]" caption="Vol QR M1" attribute="1" defaultMemberUniqueName="[Data].[Vol QR M1].[All]" allUniqueName="[Data].[Vol QR M1].[All]" dimensionUniqueName="[Data]" displayFolder="" count="0" memberValueDatatype="130" unbalanced="0"/>
    <cacheHierarchy uniqueName="[Data].[Vol TJ M1]" caption="Vol TJ M1" attribute="1" defaultMemberUniqueName="[Data].[Vol TJ M1].[All]" allUniqueName="[Data].[Vol TJ M1].[All]" dimensionUniqueName="[Data]" displayFolder="" count="0" memberValueDatatype="130" unbalanced="0"/>
    <cacheHierarchy uniqueName="[Data].[Vol M2]" caption="Vol M2" attribute="1" defaultMemberUniqueName="[Data].[Vol M2].[All]" allUniqueName="[Data].[Vol M2].[All]" dimensionUniqueName="[Data]" displayFolder="" count="0" memberValueDatatype="20" unbalanced="0"/>
    <cacheHierarchy uniqueName="[Data].[Vol QR M2]" caption="Vol QR M2" attribute="1" defaultMemberUniqueName="[Data].[Vol QR M2].[All]" allUniqueName="[Data].[Vol QR M2].[All]" dimensionUniqueName="[Data]" displayFolder="" count="0" memberValueDatatype="20" unbalanced="0"/>
    <cacheHierarchy uniqueName="[Data].[Vol TJ M2]" caption="Vol TJ M2" attribute="1" defaultMemberUniqueName="[Data].[Vol TJ M2].[All]" allUniqueName="[Data].[Vol TJ M2].[All]" dimensionUniqueName="[Data]" displayFolder="" count="0" memberValueDatatype="20" unbalanced="0"/>
    <cacheHierarchy uniqueName="[Data].[Vol M3]" caption="Vol M3" attribute="1" defaultMemberUniqueName="[Data].[Vol M3].[All]" allUniqueName="[Data].[Vol M3].[All]" dimensionUniqueName="[Data]" displayFolder="" count="0" memberValueDatatype="20" unbalanced="0"/>
    <cacheHierarchy uniqueName="[Data].[Vol QR M3]" caption="Vol QR M3" attribute="1" defaultMemberUniqueName="[Data].[Vol QR M3].[All]" allUniqueName="[Data].[Vol QR M3].[All]" dimensionUniqueName="[Data]" displayFolder="" count="0" memberValueDatatype="20" unbalanced="0"/>
    <cacheHierarchy uniqueName="[Data].[Vol TJ M3]" caption="Vol TJ M3" attribute="1" defaultMemberUniqueName="[Data].[Vol TJ M3].[All]" allUniqueName="[Data].[Vol TJ M3].[All]" dimensionUniqueName="[Data]" displayFolder="" count="0" memberValueDatatype="20" unbalanced="0"/>
    <cacheHierarchy uniqueName="[Data].[Ruc Activo]" caption="Ruc Activo" attribute="1" defaultMemberUniqueName="[Data].[Ruc Activo].[All]" allUniqueName="[Data].[Ruc Activo].[All]" dimensionUniqueName="[Data]" displayFolder="" count="0" memberValueDatatype="5" unbalanced="0"/>
    <cacheHierarchy uniqueName="[Data].[Periodo (mes)]" caption="Periodo (mes)" attribute="1" defaultMemberUniqueName="[Data].[Periodo (mes)].[All]" allUniqueName="[Data].[Periodo (mes)].[All]" dimensionUniqueName="[Data]" displayFolder="" count="0" memberValueDatatype="130" unbalanced="0"/>
    <cacheHierarchy uniqueName="[Data].[Fecha de Instalación (mes)]" caption="Fecha de Instalación (mes)" attribute="1" defaultMemberUniqueName="[Data].[Fecha de Instalación (mes)].[All]" allUniqueName="[Data].[Fecha de Instalación (mes)].[All]" dimensionUniqueName="[Data]" displayFolder="" count="0" memberValueDatatype="130" unbalanced="0"/>
    <cacheHierarchy uniqueName="[Data].[Fecha de Instalación (índice de meses)]" caption="Fecha de Instalación (índice de meses)" attribute="1" defaultMemberUniqueName="[Data].[Fecha de Instalación (índice de meses)].[All]" allUniqueName="[Data].[Fecha de Instalación (índice de meses)].[All]" dimensionUniqueName="[Data]" displayFolder="" count="0" memberValueDatatype="20" unbalanced="0" hidden="1"/>
    <cacheHierarchy uniqueName="[Data].[Periodo (índice de meses)]" caption="Periodo (índice de meses)" attribute="1" defaultMemberUniqueName="[Data].[Periodo (índice de meses)].[All]" allUniqueName="[Data].[Periodo (índice de meses)].[All]" dimensionUniqueName="[Data]" displayFolder="" count="0" memberValueDatatype="20" unbalanced="0" hidden="1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Suma de Ruc]" caption="Suma de Ruc" measure="1" displayFolder="" measureGroup="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istinto de Ruc]" caption="Recuento distinto de Ruc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e Ruc]" caption="Recuento de Ruc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GPV Mensual]" caption="Suma de GPV Mensual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áx. de Ruc]" caption="Máx. de Ruc" measure="1" displayFolder="" measureGroup="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Ruc Activo]" caption="Suma de Ruc Activo" measure="1" displayFolder="" measureGroup="Data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Vol M1]" caption="Suma de Vol M1" measure="1" displayFolder="" measureGroup="Data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Vol M2]" caption="Suma de Vol M2" measure="1" displayFolder="" measureGroup="Data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Vol M0]" caption="Suma de Vol M0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Vol M3]" caption="Suma de Vol M3" measure="1" displayFolder="" measureGroup="Data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ncelot Tavara Portuguez" refreshedDate="46192.707260069445" backgroundQuery="1" createdVersion="7" refreshedVersion="7" minRefreshableVersion="3" recordCount="0" supportSubquery="1" supportAdvancedDrill="1" xr:uid="{C58FA486-5CA7-48D9-830C-DB8B8F4A31C8}">
  <cacheSource type="external" connectionId="1"/>
  <cacheFields count="9">
    <cacheField name="[Data].[Periodo].[Periodo]" caption="Periodo" numFmtId="0" hierarchy="1" level="1">
      <sharedItems containsSemiMixedTypes="0" containsNonDate="0" containsDate="1" containsString="0" minDate="2026-05-01T00:00:00" maxDate="2026-06-02T00:00:00" count="2">
        <d v="2026-05-01T00:00:00"/>
        <d v="2026-06-01T00:00:00"/>
      </sharedItems>
    </cacheField>
    <cacheField name="[Data].[Supervisor].[Supervisor]" caption="Supervisor" numFmtId="0" hierarchy="22" level="1">
      <sharedItems count="5">
        <s v="Carlos Palomino"/>
        <s v="Hamm Ramirez"/>
        <s v="Jean Aguilar"/>
        <s v="Jonathan Lapoint"/>
        <s v="Jorge Fuentes"/>
      </sharedItems>
    </cacheField>
    <cacheField name="[Measures].[Recuento de Ruc]" caption="Recuento de Ruc" numFmtId="0" hierarchy="52" level="32767"/>
    <cacheField name="[Measures].[Suma de Ruc Activo]" caption="Suma de Ruc Activo" numFmtId="0" hierarchy="55" level="32767"/>
    <cacheField name="[Measures].[Suma de Vol M1]" caption="Suma de Vol M1" numFmtId="0" hierarchy="56" level="32767"/>
    <cacheField name="[Measures].[Suma de Vol M2]" caption="Suma de Vol M2" numFmtId="0" hierarchy="57" level="32767"/>
    <cacheField name="[Measures].[Suma de Vol M0]" caption="Suma de Vol M0" numFmtId="0" hierarchy="58" level="32767"/>
    <cacheField name="[Measures].[Suma de Vol M3]" caption="Suma de Vol M3" numFmtId="0" hierarchy="59" level="32767"/>
    <cacheField name="[Measures].[Recuento distinto de Ruc]" caption="Recuento distinto de Ruc" numFmtId="0" hierarchy="51" level="32767"/>
  </cacheFields>
  <cacheHierarchies count="60">
    <cacheHierarchy uniqueName="[Data].[Código LT]" caption="Código LT" attribute="1" defaultMemberUniqueName="[Data].[Código LT].[All]" allUniqueName="[Data].[Código LT].[All]" dimensionUniqueName="[Data]" displayFolder="" count="0" memberValueDatatype="130" unbalanced="0"/>
    <cacheHierarchy uniqueName="[Data].[Periodo]" caption="Periodo" attribute="1" time="1" defaultMemberUniqueName="[Data].[Periodo].[All]" allUniqueName="[Data].[Periodo].[All]" dimensionUniqueName="[Data]" displayFolder="" count="2" memberValueDatatype="7" unbalanced="0">
      <fieldsUsage count="2">
        <fieldUsage x="-1"/>
        <fieldUsage x="0"/>
      </fieldsUsage>
    </cacheHierarchy>
    <cacheHierarchy uniqueName="[Data].[Mes Izipay]" caption="Mes Izipay" attribute="1" defaultMemberUniqueName="[Data].[Mes Izipay].[All]" allUniqueName="[Data].[Mes Izipay].[All]" dimensionUniqueName="[Data]" displayFolder="" count="0" memberValueDatatype="130" unbalanced="0"/>
    <cacheHierarchy uniqueName="[Data].[Fecha de Ingreso]" caption="Fecha de Ingreso" attribute="1" defaultMemberUniqueName="[Data].[Fecha de Ingreso].[All]" allUniqueName="[Data].[Fecha de Ingreso].[All]" dimensionUniqueName="[Data]" displayFolder="" count="0" memberValueDatatype="130" unbalanced="0"/>
    <cacheHierarchy uniqueName="[Data].[Fecha de Instalación]" caption="Fecha de Instalación" attribute="1" defaultMemberUniqueName="[Data].[Fecha de Instalación].[All]" allUniqueName="[Data].[Fecha de Instalación].[All]" dimensionUniqueName="[Data]" displayFolder="" count="0" memberValueDatatype="130" unbalanced="0"/>
    <cacheHierarchy uniqueName="[Data].[Código]" caption="Código" attribute="1" defaultMemberUniqueName="[Data].[Código].[All]" allUniqueName="[Data].[Código].[All]" dimensionUniqueName="[Data]" displayFolder="" count="0" memberValueDatatype="20" unbalanced="0"/>
    <cacheHierarchy uniqueName="[Data].[Serie]" caption="Serie" attribute="1" defaultMemberUniqueName="[Data].[Serie].[All]" allUniqueName="[Data].[Serie].[All]" dimensionUniqueName="[Data]" displayFolder="" count="0" memberValueDatatype="130" unbalanced="0"/>
    <cacheHierarchy uniqueName="[Data].[Ruc]" caption="Ruc" attribute="1" defaultMemberUniqueName="[Data].[Ruc].[All]" allUniqueName="[Data].[Ruc].[All]" dimensionUniqueName="[Data]" displayFolder="" count="0" memberValueDatatype="5" unbalanced="0"/>
    <cacheHierarchy uniqueName="[Data].[Razón Social]" caption="Razón Social" attribute="1" defaultMemberUniqueName="[Data].[Razón Social].[All]" allUniqueName="[Data].[Razón Social].[All]" dimensionUniqueName="[Data]" displayFolder="" count="0" memberValueDatatype="130" unbalanced="0"/>
    <cacheHierarchy uniqueName="[Data].[Nombre Comercial]" caption="Nombre Comercial" attribute="1" defaultMemberUniqueName="[Data].[Nombre Comercial].[All]" allUniqueName="[Data].[Nombre Comercial].[All]" dimensionUniqueName="[Data]" displayFolder="" count="0" memberValueDatatype="130" unbalanced="0"/>
    <cacheHierarchy uniqueName="[Data].[Estado]" caption="Estado" attribute="1" defaultMemberUniqueName="[Data].[Estado].[All]" allUniqueName="[Data].[Estado].[All]" dimensionUniqueName="[Data]" displayFolder="" count="0" memberValueDatatype="130" unbalanced="0"/>
    <cacheHierarchy uniqueName="[Data].[Estado LT]" caption="Estado LT" attribute="1" defaultMemberUniqueName="[Data].[Estado LT].[All]" allUniqueName="[Data].[Estado LT].[All]" dimensionUniqueName="[Data]" displayFolder="" count="0" memberValueDatatype="130" unbalanced="0"/>
    <cacheHierarchy uniqueName="[Data].[Tipo de Venta]" caption="Tipo de Venta" attribute="1" defaultMemberUniqueName="[Data].[Tipo de Venta].[All]" allUniqueName="[Data].[Tipo de Venta].[All]" dimensionUniqueName="[Data]" displayFolder="" count="0" memberValueDatatype="130" unbalanced="0"/>
    <cacheHierarchy uniqueName="[Data].[Producto]" caption="Producto" attribute="1" defaultMemberUniqueName="[Data].[Producto].[All]" allUniqueName="[Data].[Producto].[All]" dimensionUniqueName="[Data]" displayFolder="" count="0" memberValueDatatype="130" unbalanced="0"/>
    <cacheHierarchy uniqueName="[Data].[Tipo Cliente]" caption="Tipo Cliente" attribute="1" defaultMemberUniqueName="[Data].[Tipo Cliente].[All]" allUniqueName="[Data].[Tipo Cliente].[All]" dimensionUniqueName="[Data]" displayFolder="" count="0" memberValueDatatype="130" unbalanced="0"/>
    <cacheHierarchy uniqueName="[Data].[GPV Mensual]" caption="GPV Mensual" attribute="1" defaultMemberUniqueName="[Data].[GPV Mensual].[All]" allUniqueName="[Data].[GPV Mensual].[All]" dimensionUniqueName="[Data]" displayFolder="" count="0" memberValueDatatype="5" unbalanced="0"/>
    <cacheHierarchy uniqueName="[Data].[GPV Mensual LT]" caption="GPV Mensual LT" attribute="1" defaultMemberUniqueName="[Data].[GPV Mensual LT].[All]" allUniqueName="[Data].[GPV Mensual LT].[All]" dimensionUniqueName="[Data]" displayFolder="" count="0" memberValueDatatype="20" unbalanced="0"/>
    <cacheHierarchy uniqueName="[Data].[Ejecutivo]" caption="Ejecutivo" attribute="1" defaultMemberUniqueName="[Data].[Ejecutivo].[All]" allUniqueName="[Data].[Ejecutivo].[All]" dimensionUniqueName="[Data]" displayFolder="" count="0" memberValueDatatype="130" unbalanced="0"/>
    <cacheHierarchy uniqueName="[Data].[DNI Ejecutivo]" caption="DNI Ejecutivo" attribute="1" defaultMemberUniqueName="[Data].[DNI Ejecutivo].[All]" allUniqueName="[Data].[DNI Ejecutivo].[All]" dimensionUniqueName="[Data]" displayFolder="" count="0" memberValueDatatype="130" unbalanced="0"/>
    <cacheHierarchy uniqueName="[Data].[Correo Ejecutivo]" caption="Correo Ejecutivo" attribute="1" defaultMemberUniqueName="[Data].[Correo Ejecutivo].[All]" allUniqueName="[Data].[Correo Ejecutivo].[All]" dimensionUniqueName="[Data]" displayFolder="" count="0" memberValueDatatype="130" unbalanced="0"/>
    <cacheHierarchy uniqueName="[Data].[Categoría]" caption="Categoría" attribute="1" defaultMemberUniqueName="[Data].[Categoría].[All]" allUniqueName="[Data].[Categoría].[All]" dimensionUniqueName="[Data]" displayFolder="" count="0" memberValueDatatype="130" unbalanced="0"/>
    <cacheHierarchy uniqueName="[Data].[Zona]" caption="Zona" attribute="1" defaultMemberUniqueName="[Data].[Zona].[All]" allUniqueName="[Data].[Zona].[All]" dimensionUniqueName="[Data]" displayFolder="" count="0" memberValueDatatype="130" unbalanced="0"/>
    <cacheHierarchy uniqueName="[Data].[Supervisor]" caption="Supervisor" attribute="1" defaultMemberUniqueName="[Data].[Supervisor].[All]" allUniqueName="[Data].[Supervisor].[All]" dimensionUniqueName="[Data]" displayFolder="" count="2" memberValueDatatype="130" unbalanced="0">
      <fieldsUsage count="2">
        <fieldUsage x="-1"/>
        <fieldUsage x="1"/>
      </fieldsUsage>
    </cacheHierarchy>
    <cacheHierarchy uniqueName="[Data].[Jefatura]" caption="Jefatura" attribute="1" defaultMemberUniqueName="[Data].[Jefatura].[All]" allUniqueName="[Data].[Jefatura].[All]" dimensionUniqueName="[Data]" displayFolder="" count="0" memberValueDatatype="130" unbalanced="0"/>
    <cacheHierarchy uniqueName="[Data].[DNI Supervisor]" caption="DNI Supervisor" attribute="1" defaultMemberUniqueName="[Data].[DNI Supervisor].[All]" allUniqueName="[Data].[DNI Supervisor].[All]" dimensionUniqueName="[Data]" displayFolder="" count="0" memberValueDatatype="130" unbalanced="0"/>
    <cacheHierarchy uniqueName="[Data].[Correo Supervisor]" caption="Correo Supervisor" attribute="1" defaultMemberUniqueName="[Data].[Correo Supervisor].[All]" allUniqueName="[Data].[Correo Supervisor].[All]" dimensionUniqueName="[Data]" displayFolder="" count="0" memberValueDatatype="130" unbalanced="0"/>
    <cacheHierarchy uniqueName="[Data].[DNI Referido]" caption="DNI Referido" attribute="1" defaultMemberUniqueName="[Data].[DNI Referido].[All]" allUniqueName="[Data].[DNI Referido].[All]" dimensionUniqueName="[Data]" displayFolder="" count="0" memberValueDatatype="130" unbalanced="0"/>
    <cacheHierarchy uniqueName="[Data].[Referido]" caption="Referido" attribute="1" defaultMemberUniqueName="[Data].[Referido].[All]" allUniqueName="[Data].[Referido].[All]" dimensionUniqueName="[Data]" displayFolder="" count="0" memberValueDatatype="130" unbalanced="0"/>
    <cacheHierarchy uniqueName="[Data].[Código DNI]" caption="Código DNI" attribute="1" defaultMemberUniqueName="[Data].[Código DNI].[All]" allUniqueName="[Data].[Código DNI].[All]" dimensionUniqueName="[Data]" displayFolder="" count="0" memberValueDatatype="130" unbalanced="0"/>
    <cacheHierarchy uniqueName="[Data].[CIIU]" caption="CIIU" attribute="1" defaultMemberUniqueName="[Data].[CIIU].[All]" allUniqueName="[Data].[CIIU].[All]" dimensionUniqueName="[Data]" displayFolder="" count="0" memberValueDatatype="130" unbalanced="0"/>
    <cacheHierarchy uniqueName="[Data].[Detalle CIIU]" caption="Detalle CIIU" attribute="1" defaultMemberUniqueName="[Data].[Detalle CIIU].[All]" allUniqueName="[Data].[Detalle CIIU].[All]" dimensionUniqueName="[Data]" displayFolder="" count="0" memberValueDatatype="130" unbalanced="0"/>
    <cacheHierarchy uniqueName="[Data].[Vol M0]" caption="Vol M0" attribute="1" defaultMemberUniqueName="[Data].[Vol M0].[All]" allUniqueName="[Data].[Vol M0].[All]" dimensionUniqueName="[Data]" displayFolder="" count="0" memberValueDatatype="5" unbalanced="0"/>
    <cacheHierarchy uniqueName="[Data].[Vol QR M0]" caption="Vol QR M0" attribute="1" defaultMemberUniqueName="[Data].[Vol QR M0].[All]" allUniqueName="[Data].[Vol QR M0].[All]" dimensionUniqueName="[Data]" displayFolder="" count="0" memberValueDatatype="130" unbalanced="0"/>
    <cacheHierarchy uniqueName="[Data].[Vol TJ M0]" caption="Vol TJ M0" attribute="1" defaultMemberUniqueName="[Data].[Vol TJ M0].[All]" allUniqueName="[Data].[Vol TJ M0].[All]" dimensionUniqueName="[Data]" displayFolder="" count="0" memberValueDatatype="130" unbalanced="0"/>
    <cacheHierarchy uniqueName="[Data].[Vol M1]" caption="Vol M1" attribute="1" defaultMemberUniqueName="[Data].[Vol M1].[All]" allUniqueName="[Data].[Vol M1].[All]" dimensionUniqueName="[Data]" displayFolder="" count="0" memberValueDatatype="5" unbalanced="0"/>
    <cacheHierarchy uniqueName="[Data].[Vol QR M1]" caption="Vol QR M1" attribute="1" defaultMemberUniqueName="[Data].[Vol QR M1].[All]" allUniqueName="[Data].[Vol QR M1].[All]" dimensionUniqueName="[Data]" displayFolder="" count="0" memberValueDatatype="130" unbalanced="0"/>
    <cacheHierarchy uniqueName="[Data].[Vol TJ M1]" caption="Vol TJ M1" attribute="1" defaultMemberUniqueName="[Data].[Vol TJ M1].[All]" allUniqueName="[Data].[Vol TJ M1].[All]" dimensionUniqueName="[Data]" displayFolder="" count="0" memberValueDatatype="130" unbalanced="0"/>
    <cacheHierarchy uniqueName="[Data].[Vol M2]" caption="Vol M2" attribute="1" defaultMemberUniqueName="[Data].[Vol M2].[All]" allUniqueName="[Data].[Vol M2].[All]" dimensionUniqueName="[Data]" displayFolder="" count="0" memberValueDatatype="20" unbalanced="0"/>
    <cacheHierarchy uniqueName="[Data].[Vol QR M2]" caption="Vol QR M2" attribute="1" defaultMemberUniqueName="[Data].[Vol QR M2].[All]" allUniqueName="[Data].[Vol QR M2].[All]" dimensionUniqueName="[Data]" displayFolder="" count="0" memberValueDatatype="20" unbalanced="0"/>
    <cacheHierarchy uniqueName="[Data].[Vol TJ M2]" caption="Vol TJ M2" attribute="1" defaultMemberUniqueName="[Data].[Vol TJ M2].[All]" allUniqueName="[Data].[Vol TJ M2].[All]" dimensionUniqueName="[Data]" displayFolder="" count="0" memberValueDatatype="20" unbalanced="0"/>
    <cacheHierarchy uniqueName="[Data].[Vol M3]" caption="Vol M3" attribute="1" defaultMemberUniqueName="[Data].[Vol M3].[All]" allUniqueName="[Data].[Vol M3].[All]" dimensionUniqueName="[Data]" displayFolder="" count="0" memberValueDatatype="20" unbalanced="0"/>
    <cacheHierarchy uniqueName="[Data].[Vol QR M3]" caption="Vol QR M3" attribute="1" defaultMemberUniqueName="[Data].[Vol QR M3].[All]" allUniqueName="[Data].[Vol QR M3].[All]" dimensionUniqueName="[Data]" displayFolder="" count="0" memberValueDatatype="20" unbalanced="0"/>
    <cacheHierarchy uniqueName="[Data].[Vol TJ M3]" caption="Vol TJ M3" attribute="1" defaultMemberUniqueName="[Data].[Vol TJ M3].[All]" allUniqueName="[Data].[Vol TJ M3].[All]" dimensionUniqueName="[Data]" displayFolder="" count="0" memberValueDatatype="20" unbalanced="0"/>
    <cacheHierarchy uniqueName="[Data].[Ruc Activo]" caption="Ruc Activo" attribute="1" defaultMemberUniqueName="[Data].[Ruc Activo].[All]" allUniqueName="[Data].[Ruc Activo].[All]" dimensionUniqueName="[Data]" displayFolder="" count="0" memberValueDatatype="5" unbalanced="0"/>
    <cacheHierarchy uniqueName="[Data].[Periodo (mes)]" caption="Periodo (mes)" attribute="1" defaultMemberUniqueName="[Data].[Periodo (mes)].[All]" allUniqueName="[Data].[Periodo (mes)].[All]" dimensionUniqueName="[Data]" displayFolder="" count="0" memberValueDatatype="130" unbalanced="0"/>
    <cacheHierarchy uniqueName="[Data].[Fecha de Instalación (mes)]" caption="Fecha de Instalación (mes)" attribute="1" defaultMemberUniqueName="[Data].[Fecha de Instalación (mes)].[All]" allUniqueName="[Data].[Fecha de Instalación (mes)].[All]" dimensionUniqueName="[Data]" displayFolder="" count="0" memberValueDatatype="130" unbalanced="0"/>
    <cacheHierarchy uniqueName="[Data].[Fecha de Instalación (índice de meses)]" caption="Fecha de Instalación (índice de meses)" attribute="1" defaultMemberUniqueName="[Data].[Fecha de Instalación (índice de meses)].[All]" allUniqueName="[Data].[Fecha de Instalación (índice de meses)].[All]" dimensionUniqueName="[Data]" displayFolder="" count="0" memberValueDatatype="20" unbalanced="0" hidden="1"/>
    <cacheHierarchy uniqueName="[Data].[Periodo (índice de meses)]" caption="Periodo (índice de meses)" attribute="1" defaultMemberUniqueName="[Data].[Periodo (índice de meses)].[All]" allUniqueName="[Data].[Periodo (índice de meses)].[All]" dimensionUniqueName="[Data]" displayFolder="" count="0" memberValueDatatype="20" unbalanced="0" hidden="1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Suma de Ruc]" caption="Suma de Ruc" measure="1" displayFolder="" measureGroup="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istinto de Ruc]" caption="Recuento distinto de Ruc" measure="1" displayFolder="" measureGroup="Data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Recuento de Ruc]" caption="Recuento de Ruc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GPV Mensual]" caption="Suma de GPV Mensual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Máx. de Ruc]" caption="Máx. de Ruc" measure="1" displayFolder="" measureGroup="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a de Ruc Activo]" caption="Suma de Ruc Activo" measure="1" displayFolder="" measureGroup="Dat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a de Vol M1]" caption="Suma de Vol M1" measure="1" displayFolder="" measureGroup="Data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Vol M2]" caption="Suma de Vol M2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a de Vol M0]" caption="Suma de Vol M0" measure="1" displayFolder="" measureGroup="Data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a de Vol M3]" caption="Suma de Vol M3" measure="1" displayFolder="" measureGroup="Data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DFC6AA-8B9B-426F-A1CE-592D205B1EED}" name="TablaDinámica1" cacheId="21" applyNumberFormats="0" applyBorderFormats="0" applyFontFormats="0" applyPatternFormats="0" applyAlignmentFormats="0" applyWidthHeightFormats="1" dataCaption="Valores" updatedVersion="7" minRefreshableVersion="3" useAutoFormatting="1" subtotalHiddenItems="1" itemPrintTitles="1" createdVersion="7" indent="0" compact="0" compactData="0" multipleFieldFilters="0">
  <location ref="A1:I12" firstHeaderRow="0" firstDataRow="1" firstDataCol="2"/>
  <pivotFields count="9">
    <pivotField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1">
    <i>
      <x/>
      <x/>
    </i>
    <i r="1">
      <x v="1"/>
    </i>
    <i r="1">
      <x v="2"/>
    </i>
    <i r="1">
      <x v="3"/>
    </i>
    <i r="1">
      <x v="4"/>
    </i>
    <i>
      <x v="1"/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Q Ruc" fld="8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Q Pos" fld="2" subtotal="count" baseField="1" baseItem="0"/>
    <dataField name="Q Activo" fld="3" baseField="0" baseItem="0"/>
    <dataField name="Vol M0" fld="6" baseField="1" baseItem="0" numFmtId="3"/>
    <dataField name="Vol M1" fld="4" baseField="1" baseItem="0" numFmtId="3"/>
    <dataField name="Vol M2" fld="5" baseField="1" baseItem="0" numFmtId="3"/>
    <dataField name="Vol M3" fld="7" baseField="1" baseItem="0" numFmtId="3"/>
  </dataFields>
  <formats count="30">
    <format dxfId="252">
      <pivotArea type="all" dataOnly="0" outline="0" fieldPosition="0"/>
    </format>
    <format dxfId="251">
      <pivotArea field="0" type="button" dataOnly="0" labelOnly="1" outline="0" axis="axisRow" fieldPosition="0"/>
    </format>
    <format dxfId="250">
      <pivotArea dataOnly="0" labelOnly="1" fieldPosition="0">
        <references count="1">
          <reference field="0" count="0"/>
        </references>
      </pivotArea>
    </format>
    <format dxfId="249">
      <pivotArea dataOnly="0" labelOnly="1" grandRow="1" outline="0" fieldPosition="0"/>
    </format>
    <format dxfId="248">
      <pivotArea type="all" dataOnly="0" outline="0" fieldPosition="0"/>
    </format>
    <format dxfId="247">
      <pivotArea field="0" type="button" dataOnly="0" labelOnly="1" outline="0" axis="axisRow" fieldPosition="0"/>
    </format>
    <format dxfId="246">
      <pivotArea dataOnly="0" labelOnly="1" fieldPosition="0">
        <references count="1">
          <reference field="0" count="0"/>
        </references>
      </pivotArea>
    </format>
    <format dxfId="245">
      <pivotArea dataOnly="0" labelOnly="1" grandRow="1" outline="0" fieldPosition="0"/>
    </format>
    <format dxfId="244">
      <pivotArea dataOnly="0" labelOnly="1" fieldPosition="0">
        <references count="1">
          <reference field="0" count="0"/>
        </references>
      </pivotArea>
    </format>
    <format dxfId="243">
      <pivotArea dataOnly="0" labelOnly="1" outline="0" fieldPosition="0">
        <references count="1">
          <reference field="0" count="0"/>
        </references>
      </pivotArea>
    </format>
    <format dxfId="242">
      <pivotArea type="all" dataOnly="0" outline="0" fieldPosition="0"/>
    </format>
    <format dxfId="241">
      <pivotArea outline="0" collapsedLevelsAreSubtotals="1" fieldPosition="0"/>
    </format>
    <format dxfId="240">
      <pivotArea field="0" type="button" dataOnly="0" labelOnly="1" outline="0" axis="axisRow" fieldPosition="0"/>
    </format>
    <format dxfId="239">
      <pivotArea field="1" type="button" dataOnly="0" labelOnly="1" outline="0" axis="axisRow" fieldPosition="1"/>
    </format>
    <format dxfId="238">
      <pivotArea dataOnly="0" labelOnly="1" outline="0" fieldPosition="0">
        <references count="1">
          <reference field="0" count="0"/>
        </references>
      </pivotArea>
    </format>
    <format dxfId="237">
      <pivotArea dataOnly="0" labelOnly="1" grandRow="1" outline="0" fieldPosition="0"/>
    </format>
    <format dxfId="236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3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4">
      <pivotArea type="all" dataOnly="0" outline="0" fieldPosition="0"/>
    </format>
    <format dxfId="233">
      <pivotArea outline="0" collapsedLevelsAreSubtotals="1" fieldPosition="0"/>
    </format>
    <format dxfId="232">
      <pivotArea field="0" type="button" dataOnly="0" labelOnly="1" outline="0" axis="axisRow" fieldPosition="0"/>
    </format>
    <format dxfId="231">
      <pivotArea field="1" type="button" dataOnly="0" labelOnly="1" outline="0" axis="axisRow" fieldPosition="1"/>
    </format>
    <format dxfId="230">
      <pivotArea dataOnly="0" labelOnly="1" outline="0" fieldPosition="0">
        <references count="1">
          <reference field="0" count="0"/>
        </references>
      </pivotArea>
    </format>
    <format dxfId="229">
      <pivotArea dataOnly="0" labelOnly="1" grandRow="1" outline="0" fieldPosition="0"/>
    </format>
    <format dxfId="22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2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6">
      <pivotArea outline="0" fieldPosition="0">
        <references count="1">
          <reference field="4294967294" count="1">
            <x v="3"/>
          </reference>
        </references>
      </pivotArea>
    </format>
    <format dxfId="225">
      <pivotArea outline="0" fieldPosition="0">
        <references count="1">
          <reference field="4294967294" count="1">
            <x v="4"/>
          </reference>
        </references>
      </pivotArea>
    </format>
    <format dxfId="224">
      <pivotArea outline="0" fieldPosition="0">
        <references count="1">
          <reference field="4294967294" count="1">
            <x v="5"/>
          </reference>
        </references>
      </pivotArea>
    </format>
    <format dxfId="223">
      <pivotArea outline="0" fieldPosition="0">
        <references count="1">
          <reference field="4294967294" count="1">
            <x v="6"/>
          </reference>
        </references>
      </pivotArea>
    </format>
  </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Q Ruc"/>
    <pivotHierarchy dragToData="1" caption="Q Ruc"/>
    <pivotHierarchy dragToData="1" caption="Q Pos"/>
    <pivotHierarchy dragToData="1"/>
    <pivotHierarchy dragToData="1"/>
    <pivotHierarchy dragToData="1" caption="Q Activo"/>
    <pivotHierarchy dragToData="1" caption="Vol M1"/>
    <pivotHierarchy dragToData="1" caption="Vol M2"/>
    <pivotHierarchy dragToData="1" caption="Vol M0"/>
    <pivotHierarchy dragToData="1" caption="Vol M3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Data Izipay.xlsx!Data.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38D1E-8C77-4263-99D8-231E15C52456}" name="TablaDinámica2" cacheId="20" applyNumberFormats="0" applyBorderFormats="0" applyFontFormats="0" applyPatternFormats="0" applyAlignmentFormats="0" applyWidthHeightFormats="1" dataCaption="Valores" updatedVersion="7" minRefreshableVersion="3" useAutoFormatting="1" subtotalHiddenItems="1" itemPrintTitles="1" createdVersion="7" indent="0" compact="0" compactData="0" multipleFieldFilters="0">
  <location ref="O1:W39" firstHeaderRow="0" firstDataRow="1" firstDataCol="2"/>
  <pivotFields count="9">
    <pivotField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3"/>
  </rowFields>
  <rowItems count="38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1"/>
      <x v="1"/>
    </i>
    <i r="1">
      <x v="2"/>
    </i>
    <i r="1">
      <x v="20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21"/>
    </i>
    <i r="1">
      <x v="22"/>
    </i>
    <i r="1">
      <x v="14"/>
    </i>
    <i r="1">
      <x v="15"/>
    </i>
    <i r="1">
      <x v="16"/>
    </i>
    <i r="1">
      <x v="23"/>
    </i>
    <i r="1">
      <x v="2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Q Ruc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Q Pos" fld="2" subtotal="count" baseField="0" baseItem="0"/>
    <dataField name="Q Activo" fld="4" baseField="0" baseItem="0"/>
    <dataField name="Vol M0" fld="5" baseField="3" baseItem="6" numFmtId="3"/>
    <dataField name="Vol M1" fld="6" baseField="3" baseItem="2" numFmtId="3"/>
    <dataField name="Vol M2" fld="7" baseField="3" baseItem="2" numFmtId="3"/>
    <dataField name="Vol M3" fld="8" baseField="3" baseItem="2" numFmtId="3"/>
  </dataFields>
  <formats count="26">
    <format dxfId="278">
      <pivotArea type="all" dataOnly="0" outline="0" fieldPosition="0"/>
    </format>
    <format dxfId="277">
      <pivotArea field="0" type="button" dataOnly="0" labelOnly="1" outline="0" axis="axisRow" fieldPosition="0"/>
    </format>
    <format dxfId="276">
      <pivotArea dataOnly="0" labelOnly="1" fieldPosition="0">
        <references count="1">
          <reference field="0" count="0"/>
        </references>
      </pivotArea>
    </format>
    <format dxfId="275">
      <pivotArea dataOnly="0" labelOnly="1" grandRow="1" outline="0" fieldPosition="0"/>
    </format>
    <format dxfId="274">
      <pivotArea type="all" dataOnly="0" outline="0" fieldPosition="0"/>
    </format>
    <format dxfId="273">
      <pivotArea field="0" type="button" dataOnly="0" labelOnly="1" outline="0" axis="axisRow" fieldPosition="0"/>
    </format>
    <format dxfId="272">
      <pivotArea dataOnly="0" labelOnly="1" fieldPosition="0">
        <references count="1">
          <reference field="0" count="0"/>
        </references>
      </pivotArea>
    </format>
    <format dxfId="271">
      <pivotArea dataOnly="0" labelOnly="1" grandRow="1" outline="0" fieldPosition="0"/>
    </format>
    <format dxfId="270">
      <pivotArea dataOnly="0" labelOnly="1" fieldPosition="0">
        <references count="1">
          <reference field="0" count="0"/>
        </references>
      </pivotArea>
    </format>
    <format dxfId="269">
      <pivotArea dataOnly="0" labelOnly="1" outline="0" fieldPosition="0">
        <references count="1">
          <reference field="0" count="0"/>
        </references>
      </pivotArea>
    </format>
    <format dxfId="268">
      <pivotArea type="all" dataOnly="0" outline="0" fieldPosition="0"/>
    </format>
    <format dxfId="267">
      <pivotArea outline="0" collapsedLevelsAreSubtotals="1" fieldPosition="0"/>
    </format>
    <format dxfId="266">
      <pivotArea field="0" type="button" dataOnly="0" labelOnly="1" outline="0" axis="axisRow" fieldPosition="0"/>
    </format>
    <format dxfId="265">
      <pivotArea dataOnly="0" labelOnly="1" outline="0" fieldPosition="0">
        <references count="1">
          <reference field="0" count="0"/>
        </references>
      </pivotArea>
    </format>
    <format dxfId="264">
      <pivotArea dataOnly="0" labelOnly="1" grandRow="1" outline="0" fieldPosition="0"/>
    </format>
    <format dxfId="26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2">
      <pivotArea type="all" dataOnly="0" outline="0" fieldPosition="0"/>
    </format>
    <format dxfId="261">
      <pivotArea outline="0" collapsedLevelsAreSubtotals="1" fieldPosition="0"/>
    </format>
    <format dxfId="260">
      <pivotArea field="0" type="button" dataOnly="0" labelOnly="1" outline="0" axis="axisRow" fieldPosition="0"/>
    </format>
    <format dxfId="259">
      <pivotArea dataOnly="0" labelOnly="1" outline="0" fieldPosition="0">
        <references count="1">
          <reference field="0" count="0"/>
        </references>
      </pivotArea>
    </format>
    <format dxfId="258">
      <pivotArea dataOnly="0" labelOnly="1" grandRow="1" outline="0" fieldPosition="0"/>
    </format>
    <format dxfId="2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6">
      <pivotArea outline="0" fieldPosition="0">
        <references count="1">
          <reference field="4294967294" count="1">
            <x v="3"/>
          </reference>
        </references>
      </pivotArea>
    </format>
    <format dxfId="255">
      <pivotArea outline="0" fieldPosition="0">
        <references count="1">
          <reference field="4294967294" count="1">
            <x v="4"/>
          </reference>
        </references>
      </pivotArea>
    </format>
    <format dxfId="254">
      <pivotArea outline="0" fieldPosition="0">
        <references count="1">
          <reference field="4294967294" count="1">
            <x v="5"/>
          </reference>
        </references>
      </pivotArea>
    </format>
    <format dxfId="253">
      <pivotArea outline="0" fieldPosition="0">
        <references count="1">
          <reference field="4294967294" count="1">
            <x v="6"/>
          </reference>
        </references>
      </pivotArea>
    </format>
  </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Q Ruc"/>
    <pivotHierarchy dragToData="1" caption="Q Ruc"/>
    <pivotHierarchy dragToData="1" caption="Q Pos"/>
    <pivotHierarchy dragToData="1"/>
    <pivotHierarchy dragToData="1"/>
    <pivotHierarchy dragToData="1" caption="Q Activo"/>
    <pivotHierarchy dragToData="1" caption="Vol M1"/>
    <pivotHierarchy dragToData="1" caption="Vol M2"/>
    <pivotHierarchy dragToData="1" caption="Vol M0"/>
    <pivotHierarchy dragToData="1" caption="Vol M3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Data Izipay.xlsx!Data.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50E9D-DFC5-4253-B1AB-B2AD8A08DDCA}" name="TablaDinámica2" cacheId="18" applyNumberFormats="0" applyBorderFormats="0" applyFontFormats="0" applyPatternFormats="0" applyAlignmentFormats="0" applyWidthHeightFormats="1" dataCaption="Valores" updatedVersion="7" minRefreshableVersion="3" useAutoFormatting="1" subtotalHiddenItems="1" itemPrintTitles="1" createdVersion="7" indent="0" compact="0" compactData="0" multipleFieldFilters="0">
  <location ref="Q1:V49" firstHeaderRow="1" firstDataRow="1" firstDataCol="5"/>
  <pivotFields count="6">
    <pivotField axis="axisRow" compact="0" allDrilled="1" outline="0" subtotalTop="0" showAll="0" defaultSubtotal="0" defaultAttributeDrillState="1">
      <items count="45">
        <item x="10"/>
        <item x="0"/>
        <item x="1"/>
        <item x="2"/>
        <item x="6"/>
        <item x="7"/>
        <item x="9"/>
        <item x="13"/>
        <item x="14"/>
        <item x="24"/>
        <item x="25"/>
        <item x="26"/>
        <item x="29"/>
        <item x="30"/>
        <item x="31"/>
        <item x="32"/>
        <item x="33"/>
        <item x="34"/>
        <item x="38"/>
        <item x="40"/>
        <item x="41"/>
        <item x="42"/>
        <item x="44"/>
        <item x="4"/>
        <item x="12"/>
        <item x="20"/>
        <item x="21"/>
        <item x="37"/>
        <item x="39"/>
        <item x="5"/>
        <item x="11"/>
        <item x="15"/>
        <item x="18"/>
        <item x="19"/>
        <item x="22"/>
        <item x="23"/>
        <item x="27"/>
        <item x="28"/>
        <item x="36"/>
        <item x="43"/>
        <item x="3"/>
        <item x="8"/>
        <item x="16"/>
        <item x="17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Instalación" axis="axisRow" compact="0" allDrilled="1" outline="0" subtotalTop="0" showAll="0" defaultSubtotal="0" defaultAttributeDrillState="1">
      <items count="17">
        <item x="0"/>
        <item x="1"/>
        <item x="2"/>
        <item x="4"/>
        <item x="3"/>
        <item x="5"/>
        <item x="6"/>
        <item x="7"/>
        <item x="8"/>
        <item x="10"/>
        <item x="11"/>
        <item x="12"/>
        <item x="13"/>
        <item x="14"/>
        <item x="15"/>
        <item x="16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1"/>
    <field x="2"/>
    <field x="0"/>
    <field x="3"/>
    <field x="4"/>
  </rowFields>
  <rowItems count="48">
    <i>
      <x/>
      <x/>
      <x v="1"/>
      <x/>
      <x/>
    </i>
    <i r="1">
      <x v="1"/>
      <x v="2"/>
      <x v="1"/>
      <x v="1"/>
    </i>
    <i r="2">
      <x v="3"/>
      <x v="2"/>
      <x v="2"/>
    </i>
    <i r="2">
      <x v="4"/>
      <x v="6"/>
      <x v="4"/>
    </i>
    <i r="2">
      <x v="5"/>
      <x v="7"/>
      <x v="4"/>
    </i>
    <i r="2">
      <x v="23"/>
      <x v="4"/>
      <x v="3"/>
    </i>
    <i r="2">
      <x v="29"/>
      <x v="5"/>
      <x v="3"/>
    </i>
    <i r="2">
      <x v="40"/>
      <x v="3"/>
      <x v="4"/>
    </i>
    <i r="1">
      <x v="2"/>
      <x v="41"/>
      <x v="8"/>
      <x v="4"/>
    </i>
    <i r="1">
      <x v="3"/>
      <x/>
      <x v="10"/>
      <x v="6"/>
    </i>
    <i r="2">
      <x v="6"/>
      <x v="9"/>
      <x v="5"/>
    </i>
    <i r="1">
      <x v="4"/>
      <x v="24"/>
      <x v="12"/>
      <x v="4"/>
    </i>
    <i r="2">
      <x v="30"/>
      <x v="11"/>
      <x v="3"/>
    </i>
    <i r="1">
      <x v="5"/>
      <x v="7"/>
      <x v="13"/>
      <x v="4"/>
    </i>
    <i r="2">
      <x v="8"/>
      <x v="14"/>
      <x v="7"/>
    </i>
    <i r="4">
      <x v="8"/>
    </i>
    <i r="2">
      <x v="31"/>
      <x v="15"/>
      <x v="5"/>
    </i>
    <i r="2">
      <x v="42"/>
      <x v="16"/>
      <x v="16"/>
    </i>
    <i r="1">
      <x v="6"/>
      <x v="43"/>
      <x v="17"/>
      <x v="4"/>
    </i>
    <i r="1">
      <x v="7"/>
      <x v="25"/>
      <x v="20"/>
      <x v="2"/>
    </i>
    <i r="2">
      <x v="26"/>
      <x v="21"/>
      <x v="9"/>
    </i>
    <i r="2">
      <x v="32"/>
      <x v="18"/>
      <x v="4"/>
    </i>
    <i r="2">
      <x v="33"/>
      <x v="19"/>
      <x v="4"/>
    </i>
    <i r="1">
      <x v="8"/>
      <x v="9"/>
      <x v="24"/>
      <x v="10"/>
    </i>
    <i r="2">
      <x v="34"/>
      <x v="22"/>
      <x v="4"/>
    </i>
    <i r="2">
      <x v="35"/>
      <x v="23"/>
      <x v="9"/>
    </i>
    <i r="1">
      <x v="9"/>
      <x v="10"/>
      <x v="25"/>
      <x v="4"/>
    </i>
    <i r="1">
      <x v="10"/>
      <x v="11"/>
      <x v="26"/>
      <x v="6"/>
    </i>
    <i r="1">
      <x v="11"/>
      <x v="36"/>
      <x v="27"/>
      <x v="4"/>
    </i>
    <i r="2">
      <x v="37"/>
      <x v="28"/>
      <x v="4"/>
    </i>
    <i r="1">
      <x v="12"/>
      <x v="12"/>
      <x v="29"/>
      <x v="4"/>
    </i>
    <i r="2">
      <x v="13"/>
      <x v="30"/>
      <x v="4"/>
    </i>
    <i r="2">
      <x v="14"/>
      <x v="31"/>
      <x v="4"/>
    </i>
    <i r="2">
      <x v="15"/>
      <x v="32"/>
      <x v="11"/>
    </i>
    <i r="2">
      <x v="16"/>
      <x v="33"/>
      <x v="4"/>
    </i>
    <i r="1">
      <x v="13"/>
      <x v="17"/>
      <x v="34"/>
      <x v="12"/>
    </i>
    <i r="2">
      <x v="44"/>
      <x v="35"/>
      <x v="4"/>
    </i>
    <i r="1">
      <x v="14"/>
      <x v="27"/>
      <x v="37"/>
      <x v="13"/>
    </i>
    <i r="2">
      <x v="38"/>
      <x v="36"/>
      <x v="9"/>
    </i>
    <i r="1">
      <x v="15"/>
      <x v="18"/>
      <x v="38"/>
      <x/>
    </i>
    <i r="2">
      <x v="28"/>
      <x v="39"/>
      <x v="13"/>
    </i>
    <i r="1">
      <x v="16"/>
      <x v="19"/>
      <x v="40"/>
      <x v="4"/>
    </i>
    <i r="2">
      <x v="20"/>
      <x v="41"/>
      <x v="6"/>
    </i>
    <i r="4">
      <x v="8"/>
    </i>
    <i r="2">
      <x v="21"/>
      <x v="42"/>
      <x v="3"/>
    </i>
    <i r="2">
      <x v="22"/>
      <x v="44"/>
      <x v="15"/>
    </i>
    <i r="2">
      <x v="39"/>
      <x v="43"/>
      <x v="14"/>
    </i>
    <i t="grand">
      <x/>
    </i>
  </rowItems>
  <colItems count="1">
    <i/>
  </colItems>
  <dataFields count="1">
    <dataField name="Vol M0 " fld="5" baseField="4" baseItem="1" numFmtId="1"/>
  </dataFields>
  <formats count="122">
    <format dxfId="121">
      <pivotArea dataOnly="0" labelOnly="1" outline="0" fieldPosition="0">
        <references count="1">
          <reference field="1" count="0"/>
        </references>
      </pivotArea>
    </format>
    <format dxfId="120">
      <pivotArea type="all" dataOnly="0" outline="0" fieldPosition="0"/>
    </format>
    <format dxfId="119">
      <pivotArea field="1" type="button" dataOnly="0" labelOnly="1" outline="0" axis="axisRow" fieldPosition="0"/>
    </format>
    <format dxfId="118">
      <pivotArea field="0" type="button" dataOnly="0" labelOnly="1" outline="0" axis="axisRow" fieldPosition="2"/>
    </format>
    <format dxfId="117">
      <pivotArea dataOnly="0" labelOnly="1" outline="0" fieldPosition="0">
        <references count="1">
          <reference field="1" count="0"/>
        </references>
      </pivotArea>
    </format>
    <format dxfId="116">
      <pivotArea dataOnly="0" labelOnly="1" grandRow="1" outline="0" fieldPosition="0"/>
    </format>
    <format dxfId="115">
      <pivotArea type="all" dataOnly="0" outline="0" fieldPosition="0"/>
    </format>
    <format dxfId="114">
      <pivotArea field="1" type="button" dataOnly="0" labelOnly="1" outline="0" axis="axisRow" fieldPosition="0"/>
    </format>
    <format dxfId="113">
      <pivotArea field="0" type="button" dataOnly="0" labelOnly="1" outline="0" axis="axisRow" fieldPosition="2"/>
    </format>
    <format dxfId="112">
      <pivotArea dataOnly="0" labelOnly="1" outline="0" fieldPosition="0">
        <references count="1">
          <reference field="1" count="0"/>
        </references>
      </pivotArea>
    </format>
    <format dxfId="111">
      <pivotArea dataOnly="0" labelOnly="1" grandRow="1" outline="0" fieldPosition="0"/>
    </format>
    <format dxfId="110">
      <pivotArea dataOnly="0" labelOnly="1" grandRow="1" outline="0" fieldPosition="0"/>
    </format>
    <format dxfId="109">
      <pivotArea dataOnly="0" labelOnly="1" outline="0" fieldPosition="0">
        <references count="1">
          <reference field="3" count="0"/>
        </references>
      </pivotArea>
    </format>
    <format dxfId="108">
      <pivotArea dataOnly="0" labelOnly="1" outline="0" axis="axisValues" fieldPosition="0"/>
    </format>
    <format dxfId="107">
      <pivotArea outline="0" collapsedLevelsAreSubtotals="1" fieldPosition="0"/>
    </format>
    <format dxfId="106">
      <pivotArea outline="0" fieldPosition="0">
        <references count="1">
          <reference field="4294967294" count="1">
            <x v="0"/>
          </reference>
        </references>
      </pivotArea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1" type="button" dataOnly="0" labelOnly="1" outline="0" axis="axisRow" fieldPosition="0"/>
    </format>
    <format dxfId="102">
      <pivotArea field="2" type="button" dataOnly="0" labelOnly="1" outline="0" axis="axisRow" fieldPosition="1"/>
    </format>
    <format dxfId="101">
      <pivotArea field="0" type="button" dataOnly="0" labelOnly="1" outline="0" axis="axisRow" fieldPosition="2"/>
    </format>
    <format dxfId="100">
      <pivotArea field="3" type="button" dataOnly="0" labelOnly="1" outline="0" axis="axisRow" fieldPosition="3"/>
    </format>
    <format dxfId="99">
      <pivotArea field="4" type="button" dataOnly="0" labelOnly="1" outline="0" axis="axisRow" fieldPosition="4"/>
    </format>
    <format dxfId="98">
      <pivotArea dataOnly="0" labelOnly="1" outline="0" fieldPosition="0">
        <references count="1">
          <reference field="1" count="0"/>
        </references>
      </pivotArea>
    </format>
    <format dxfId="97">
      <pivotArea dataOnly="0" labelOnly="1" grandRow="1" outline="0" fieldPosition="0"/>
    </format>
    <format dxfId="96">
      <pivotArea dataOnly="0" labelOnly="1" outline="0" fieldPosition="0">
        <references count="2">
          <reference field="1" count="0" selected="0"/>
          <reference field="2" count="0"/>
        </references>
      </pivotArea>
    </format>
    <format dxfId="95">
      <pivotArea dataOnly="0" labelOnly="1" outline="0" fieldPosition="0">
        <references count="3">
          <reference field="0" count="1">
            <x v="1"/>
          </reference>
          <reference field="1" count="0" selected="0"/>
          <reference field="2" count="1" selected="0">
            <x v="0"/>
          </reference>
        </references>
      </pivotArea>
    </format>
    <format dxfId="94">
      <pivotArea dataOnly="0" labelOnly="1" outline="0" fieldPosition="0">
        <references count="3">
          <reference field="0" count="6">
            <x v="2"/>
            <x v="3"/>
            <x v="4"/>
            <x v="5"/>
            <x v="23"/>
            <x v="29"/>
          </reference>
          <reference field="1" count="0" selected="0"/>
          <reference field="2" count="1" selected="0">
            <x v="1"/>
          </reference>
        </references>
      </pivotArea>
    </format>
    <format dxfId="93">
      <pivotArea dataOnly="0" labelOnly="1" outline="0" fieldPosition="0">
        <references count="3">
          <reference field="0" count="2">
            <x v="0"/>
            <x v="6"/>
          </reference>
          <reference field="1" count="0" selected="0"/>
          <reference field="2" count="1" selected="0">
            <x v="3"/>
          </reference>
        </references>
      </pivotArea>
    </format>
    <format dxfId="92">
      <pivotArea dataOnly="0" labelOnly="1" outline="0" fieldPosition="0">
        <references count="3">
          <reference field="0" count="2">
            <x v="24"/>
            <x v="30"/>
          </reference>
          <reference field="1" count="0" selected="0"/>
          <reference field="2" count="1" selected="0">
            <x v="4"/>
          </reference>
        </references>
      </pivotArea>
    </format>
    <format dxfId="91">
      <pivotArea dataOnly="0" labelOnly="1" outline="0" fieldPosition="0">
        <references count="3">
          <reference field="0" count="3">
            <x v="7"/>
            <x v="8"/>
            <x v="31"/>
          </reference>
          <reference field="1" count="0" selected="0"/>
          <reference field="2" count="1" selected="0">
            <x v="5"/>
          </reference>
        </references>
      </pivotArea>
    </format>
    <format dxfId="90">
      <pivotArea dataOnly="0" labelOnly="1" outline="0" fieldPosition="0">
        <references count="3">
          <reference field="0" count="4">
            <x v="25"/>
            <x v="26"/>
            <x v="32"/>
            <x v="33"/>
          </reference>
          <reference field="1" count="0" selected="0"/>
          <reference field="2" count="1" selected="0">
            <x v="7"/>
          </reference>
        </references>
      </pivotArea>
    </format>
    <format dxfId="89">
      <pivotArea dataOnly="0" labelOnly="1" outline="0" fieldPosition="0">
        <references count="3">
          <reference field="0" count="3">
            <x v="9"/>
            <x v="34"/>
            <x v="35"/>
          </reference>
          <reference field="1" count="0" selected="0"/>
          <reference field="2" count="1" selected="0">
            <x v="8"/>
          </reference>
        </references>
      </pivotArea>
    </format>
    <format dxfId="88">
      <pivotArea dataOnly="0" labelOnly="1" outline="0" fieldPosition="0">
        <references count="3">
          <reference field="0" count="1">
            <x v="10"/>
          </reference>
          <reference field="1" count="0" selected="0"/>
          <reference field="2" count="1" selected="0">
            <x v="9"/>
          </reference>
        </references>
      </pivotArea>
    </format>
    <format dxfId="87">
      <pivotArea dataOnly="0" labelOnly="1" outline="0" fieldPosition="0">
        <references count="3">
          <reference field="0" count="1">
            <x v="11"/>
          </reference>
          <reference field="1" count="0" selected="0"/>
          <reference field="2" count="1" selected="0">
            <x v="10"/>
          </reference>
        </references>
      </pivotArea>
    </format>
    <format dxfId="86">
      <pivotArea dataOnly="0" labelOnly="1" outline="0" fieldPosition="0">
        <references count="3">
          <reference field="0" count="2">
            <x v="36"/>
            <x v="37"/>
          </reference>
          <reference field="1" count="0" selected="0"/>
          <reference field="2" count="1" selected="0">
            <x v="11"/>
          </reference>
        </references>
      </pivotArea>
    </format>
    <format dxfId="85">
      <pivotArea dataOnly="0" labelOnly="1" outline="0" fieldPosition="0">
        <references count="3">
          <reference field="0" count="5">
            <x v="12"/>
            <x v="13"/>
            <x v="14"/>
            <x v="15"/>
            <x v="16"/>
          </reference>
          <reference field="1" count="0" selected="0"/>
          <reference field="2" count="1" selected="0">
            <x v="12"/>
          </reference>
        </references>
      </pivotArea>
    </format>
    <format dxfId="84">
      <pivotArea dataOnly="0" labelOnly="1" outline="0" fieldPosition="0">
        <references count="3">
          <reference field="0" count="1">
            <x v="17"/>
          </reference>
          <reference field="1" count="0" selected="0"/>
          <reference field="2" count="1" selected="0">
            <x v="13"/>
          </reference>
        </references>
      </pivotArea>
    </format>
    <format dxfId="83">
      <pivotArea dataOnly="0" labelOnly="1" outline="0" fieldPosition="0">
        <references count="3">
          <reference field="0" count="2">
            <x v="27"/>
            <x v="38"/>
          </reference>
          <reference field="1" count="0" selected="0"/>
          <reference field="2" count="1" selected="0">
            <x v="14"/>
          </reference>
        </references>
      </pivotArea>
    </format>
    <format dxfId="82">
      <pivotArea dataOnly="0" labelOnly="1" outline="0" fieldPosition="0">
        <references count="3">
          <reference field="0" count="2">
            <x v="18"/>
            <x v="28"/>
          </reference>
          <reference field="1" count="0" selected="0"/>
          <reference field="2" count="1" selected="0">
            <x v="15"/>
          </reference>
        </references>
      </pivotArea>
    </format>
    <format dxfId="81">
      <pivotArea dataOnly="0" labelOnly="1" outline="0" fieldPosition="0">
        <references count="3">
          <reference field="0" count="5">
            <x v="19"/>
            <x v="20"/>
            <x v="21"/>
            <x v="22"/>
            <x v="39"/>
          </reference>
          <reference field="1" count="0" selected="0"/>
          <reference field="2" count="1" selected="0">
            <x v="16"/>
          </reference>
        </references>
      </pivotArea>
    </format>
    <format dxfId="80">
      <pivotArea dataOnly="0" labelOnly="1" outline="0" fieldPosition="0">
        <references count="4">
          <reference field="0" count="1" selected="0">
            <x v="1"/>
          </reference>
          <reference field="1" count="0" selected="0"/>
          <reference field="2" count="1" selected="0">
            <x v="0"/>
          </reference>
          <reference field="3" count="1">
            <x v="0"/>
          </reference>
        </references>
      </pivotArea>
    </format>
    <format dxfId="79">
      <pivotArea dataOnly="0" labelOnly="1" outline="0" fieldPosition="0">
        <references count="4">
          <reference field="0" count="1" selected="0">
            <x v="2"/>
          </reference>
          <reference field="1" count="0" selected="0"/>
          <reference field="2" count="1" selected="0">
            <x v="1"/>
          </reference>
          <reference field="3" count="1">
            <x v="1"/>
          </reference>
        </references>
      </pivotArea>
    </format>
    <format dxfId="78">
      <pivotArea dataOnly="0" labelOnly="1" outline="0" fieldPosition="0">
        <references count="4">
          <reference field="0" count="1" selected="0">
            <x v="3"/>
          </reference>
          <reference field="1" count="0" selected="0"/>
          <reference field="2" count="1" selected="0">
            <x v="1"/>
          </reference>
          <reference field="3" count="1">
            <x v="2"/>
          </reference>
        </references>
      </pivotArea>
    </format>
    <format dxfId="77">
      <pivotArea dataOnly="0" labelOnly="1" outline="0" fieldPosition="0">
        <references count="4">
          <reference field="0" count="1" selected="0">
            <x v="4"/>
          </reference>
          <reference field="1" count="0" selected="0"/>
          <reference field="2" count="1" selected="0">
            <x v="1"/>
          </reference>
          <reference field="3" count="1">
            <x v="6"/>
          </reference>
        </references>
      </pivotArea>
    </format>
    <format dxfId="76">
      <pivotArea dataOnly="0" labelOnly="1" outline="0" fieldPosition="0">
        <references count="4">
          <reference field="0" count="1" selected="0">
            <x v="5"/>
          </reference>
          <reference field="1" count="0" selected="0"/>
          <reference field="2" count="1" selected="0">
            <x v="1"/>
          </reference>
          <reference field="3" count="1">
            <x v="7"/>
          </reference>
        </references>
      </pivotArea>
    </format>
    <format dxfId="75">
      <pivotArea dataOnly="0" labelOnly="1" outline="0" fieldPosition="0">
        <references count="4">
          <reference field="0" count="1" selected="0">
            <x v="23"/>
          </reference>
          <reference field="1" count="0" selected="0"/>
          <reference field="2" count="1" selected="0">
            <x v="1"/>
          </reference>
          <reference field="3" count="1">
            <x v="4"/>
          </reference>
        </references>
      </pivotArea>
    </format>
    <format dxfId="74">
      <pivotArea dataOnly="0" labelOnly="1" outline="0" fieldPosition="0">
        <references count="4">
          <reference field="0" count="1" selected="0">
            <x v="29"/>
          </reference>
          <reference field="1" count="0" selected="0"/>
          <reference field="2" count="1" selected="0">
            <x v="1"/>
          </reference>
          <reference field="3" count="1">
            <x v="5"/>
          </reference>
        </references>
      </pivotArea>
    </format>
    <format dxfId="73">
      <pivotArea dataOnly="0" labelOnly="1" outline="0" fieldPosition="0">
        <references count="4">
          <reference field="0" count="1" selected="0">
            <x v="0"/>
          </reference>
          <reference field="1" count="0" selected="0"/>
          <reference field="2" count="1" selected="0">
            <x v="3"/>
          </reference>
          <reference field="3" count="1">
            <x v="10"/>
          </reference>
        </references>
      </pivotArea>
    </format>
    <format dxfId="72">
      <pivotArea dataOnly="0" labelOnly="1" outline="0" fieldPosition="0">
        <references count="4">
          <reference field="0" count="1" selected="0">
            <x v="6"/>
          </reference>
          <reference field="1" count="0" selected="0"/>
          <reference field="2" count="1" selected="0">
            <x v="3"/>
          </reference>
          <reference field="3" count="1">
            <x v="9"/>
          </reference>
        </references>
      </pivotArea>
    </format>
    <format dxfId="71">
      <pivotArea dataOnly="0" labelOnly="1" outline="0" fieldPosition="0">
        <references count="4">
          <reference field="0" count="1" selected="0">
            <x v="24"/>
          </reference>
          <reference field="1" count="0" selected="0"/>
          <reference field="2" count="1" selected="0">
            <x v="4"/>
          </reference>
          <reference field="3" count="1">
            <x v="12"/>
          </reference>
        </references>
      </pivotArea>
    </format>
    <format dxfId="70">
      <pivotArea dataOnly="0" labelOnly="1" outline="0" fieldPosition="0">
        <references count="4">
          <reference field="0" count="1" selected="0">
            <x v="30"/>
          </reference>
          <reference field="1" count="0" selected="0"/>
          <reference field="2" count="1" selected="0">
            <x v="4"/>
          </reference>
          <reference field="3" count="1">
            <x v="11"/>
          </reference>
        </references>
      </pivotArea>
    </format>
    <format dxfId="69">
      <pivotArea dataOnly="0" labelOnly="1" outline="0" fieldPosition="0">
        <references count="4">
          <reference field="0" count="1" selected="0">
            <x v="7"/>
          </reference>
          <reference field="1" count="0" selected="0"/>
          <reference field="2" count="1" selected="0">
            <x v="5"/>
          </reference>
          <reference field="3" count="1">
            <x v="13"/>
          </reference>
        </references>
      </pivotArea>
    </format>
    <format dxfId="68">
      <pivotArea dataOnly="0" labelOnly="1" outline="0" fieldPosition="0">
        <references count="4">
          <reference field="0" count="1" selected="0">
            <x v="8"/>
          </reference>
          <reference field="1" count="0" selected="0"/>
          <reference field="2" count="1" selected="0">
            <x v="5"/>
          </reference>
          <reference field="3" count="1">
            <x v="14"/>
          </reference>
        </references>
      </pivotArea>
    </format>
    <format dxfId="67">
      <pivotArea dataOnly="0" labelOnly="1" outline="0" fieldPosition="0">
        <references count="4">
          <reference field="0" count="1" selected="0">
            <x v="31"/>
          </reference>
          <reference field="1" count="0" selected="0"/>
          <reference field="2" count="1" selected="0">
            <x v="5"/>
          </reference>
          <reference field="3" count="1">
            <x v="15"/>
          </reference>
        </references>
      </pivotArea>
    </format>
    <format dxfId="66">
      <pivotArea dataOnly="0" labelOnly="1" outline="0" fieldPosition="0">
        <references count="4">
          <reference field="0" count="1" selected="0">
            <x v="25"/>
          </reference>
          <reference field="1" count="0" selected="0"/>
          <reference field="2" count="1" selected="0">
            <x v="7"/>
          </reference>
          <reference field="3" count="1">
            <x v="20"/>
          </reference>
        </references>
      </pivotArea>
    </format>
    <format dxfId="65">
      <pivotArea dataOnly="0" labelOnly="1" outline="0" fieldPosition="0">
        <references count="4">
          <reference field="0" count="1" selected="0">
            <x v="26"/>
          </reference>
          <reference field="1" count="0" selected="0"/>
          <reference field="2" count="1" selected="0">
            <x v="7"/>
          </reference>
          <reference field="3" count="1">
            <x v="21"/>
          </reference>
        </references>
      </pivotArea>
    </format>
    <format dxfId="64">
      <pivotArea dataOnly="0" labelOnly="1" outline="0" fieldPosition="0">
        <references count="4">
          <reference field="0" count="1" selected="0">
            <x v="32"/>
          </reference>
          <reference field="1" count="0" selected="0"/>
          <reference field="2" count="1" selected="0">
            <x v="7"/>
          </reference>
          <reference field="3" count="1">
            <x v="18"/>
          </reference>
        </references>
      </pivotArea>
    </format>
    <format dxfId="63">
      <pivotArea dataOnly="0" labelOnly="1" outline="0" fieldPosition="0">
        <references count="4">
          <reference field="0" count="1" selected="0">
            <x v="33"/>
          </reference>
          <reference field="1" count="0" selected="0"/>
          <reference field="2" count="1" selected="0">
            <x v="7"/>
          </reference>
          <reference field="3" count="1">
            <x v="19"/>
          </reference>
        </references>
      </pivotArea>
    </format>
    <format dxfId="62">
      <pivotArea dataOnly="0" labelOnly="1" outline="0" fieldPosition="0">
        <references count="4">
          <reference field="0" count="1" selected="0">
            <x v="9"/>
          </reference>
          <reference field="1" count="0" selected="0"/>
          <reference field="2" count="1" selected="0">
            <x v="8"/>
          </reference>
          <reference field="3" count="1">
            <x v="24"/>
          </reference>
        </references>
      </pivotArea>
    </format>
    <format dxfId="61">
      <pivotArea dataOnly="0" labelOnly="1" outline="0" fieldPosition="0">
        <references count="4">
          <reference field="0" count="1" selected="0">
            <x v="34"/>
          </reference>
          <reference field="1" count="0" selected="0"/>
          <reference field="2" count="1" selected="0">
            <x v="8"/>
          </reference>
          <reference field="3" count="1">
            <x v="22"/>
          </reference>
        </references>
      </pivotArea>
    </format>
    <format dxfId="60">
      <pivotArea dataOnly="0" labelOnly="1" outline="0" fieldPosition="0">
        <references count="4">
          <reference field="0" count="1" selected="0">
            <x v="35"/>
          </reference>
          <reference field="1" count="0" selected="0"/>
          <reference field="2" count="1" selected="0">
            <x v="8"/>
          </reference>
          <reference field="3" count="1">
            <x v="23"/>
          </reference>
        </references>
      </pivotArea>
    </format>
    <format dxfId="59">
      <pivotArea dataOnly="0" labelOnly="1" outline="0" fieldPosition="0">
        <references count="4">
          <reference field="0" count="1" selected="0">
            <x v="10"/>
          </reference>
          <reference field="1" count="0" selected="0"/>
          <reference field="2" count="1" selected="0">
            <x v="9"/>
          </reference>
          <reference field="3" count="1">
            <x v="25"/>
          </reference>
        </references>
      </pivotArea>
    </format>
    <format dxfId="58">
      <pivotArea dataOnly="0" labelOnly="1" outline="0" fieldPosition="0">
        <references count="4">
          <reference field="0" count="1" selected="0">
            <x v="11"/>
          </reference>
          <reference field="1" count="0" selected="0"/>
          <reference field="2" count="1" selected="0">
            <x v="10"/>
          </reference>
          <reference field="3" count="1">
            <x v="26"/>
          </reference>
        </references>
      </pivotArea>
    </format>
    <format dxfId="57">
      <pivotArea dataOnly="0" labelOnly="1" outline="0" fieldPosition="0">
        <references count="4">
          <reference field="0" count="1" selected="0">
            <x v="36"/>
          </reference>
          <reference field="1" count="0" selected="0"/>
          <reference field="2" count="1" selected="0">
            <x v="11"/>
          </reference>
          <reference field="3" count="1">
            <x v="27"/>
          </reference>
        </references>
      </pivotArea>
    </format>
    <format dxfId="56">
      <pivotArea dataOnly="0" labelOnly="1" outline="0" fieldPosition="0">
        <references count="4">
          <reference field="0" count="1" selected="0">
            <x v="37"/>
          </reference>
          <reference field="1" count="0" selected="0"/>
          <reference field="2" count="1" selected="0">
            <x v="11"/>
          </reference>
          <reference field="3" count="1">
            <x v="28"/>
          </reference>
        </references>
      </pivotArea>
    </format>
    <format dxfId="55">
      <pivotArea dataOnly="0" labelOnly="1" outline="0" fieldPosition="0">
        <references count="4">
          <reference field="0" count="1" selected="0">
            <x v="12"/>
          </reference>
          <reference field="1" count="0" selected="0"/>
          <reference field="2" count="1" selected="0">
            <x v="12"/>
          </reference>
          <reference field="3" count="1">
            <x v="29"/>
          </reference>
        </references>
      </pivotArea>
    </format>
    <format dxfId="54">
      <pivotArea dataOnly="0" labelOnly="1" outline="0" fieldPosition="0">
        <references count="4">
          <reference field="0" count="1" selected="0">
            <x v="13"/>
          </reference>
          <reference field="1" count="0" selected="0"/>
          <reference field="2" count="1" selected="0">
            <x v="12"/>
          </reference>
          <reference field="3" count="1">
            <x v="30"/>
          </reference>
        </references>
      </pivotArea>
    </format>
    <format dxfId="53">
      <pivotArea dataOnly="0" labelOnly="1" outline="0" fieldPosition="0">
        <references count="4">
          <reference field="0" count="1" selected="0">
            <x v="14"/>
          </reference>
          <reference field="1" count="0" selected="0"/>
          <reference field="2" count="1" selected="0">
            <x v="12"/>
          </reference>
          <reference field="3" count="1">
            <x v="31"/>
          </reference>
        </references>
      </pivotArea>
    </format>
    <format dxfId="52">
      <pivotArea dataOnly="0" labelOnly="1" outline="0" fieldPosition="0">
        <references count="4">
          <reference field="0" count="1" selected="0">
            <x v="15"/>
          </reference>
          <reference field="1" count="0" selected="0"/>
          <reference field="2" count="1" selected="0">
            <x v="12"/>
          </reference>
          <reference field="3" count="1">
            <x v="32"/>
          </reference>
        </references>
      </pivotArea>
    </format>
    <format dxfId="51">
      <pivotArea dataOnly="0" labelOnly="1" outline="0" fieldPosition="0">
        <references count="4">
          <reference field="0" count="1" selected="0">
            <x v="16"/>
          </reference>
          <reference field="1" count="0" selected="0"/>
          <reference field="2" count="1" selected="0">
            <x v="12"/>
          </reference>
          <reference field="3" count="1">
            <x v="33"/>
          </reference>
        </references>
      </pivotArea>
    </format>
    <format dxfId="50">
      <pivotArea dataOnly="0" labelOnly="1" outline="0" fieldPosition="0">
        <references count="4">
          <reference field="0" count="1" selected="0">
            <x v="17"/>
          </reference>
          <reference field="1" count="0" selected="0"/>
          <reference field="2" count="1" selected="0">
            <x v="13"/>
          </reference>
          <reference field="3" count="1">
            <x v="34"/>
          </reference>
        </references>
      </pivotArea>
    </format>
    <format dxfId="49">
      <pivotArea dataOnly="0" labelOnly="1" outline="0" fieldPosition="0">
        <references count="4">
          <reference field="0" count="1" selected="0">
            <x v="27"/>
          </reference>
          <reference field="1" count="0" selected="0"/>
          <reference field="2" count="1" selected="0">
            <x v="14"/>
          </reference>
          <reference field="3" count="1">
            <x v="37"/>
          </reference>
        </references>
      </pivotArea>
    </format>
    <format dxfId="48">
      <pivotArea dataOnly="0" labelOnly="1" outline="0" fieldPosition="0">
        <references count="4">
          <reference field="0" count="1" selected="0">
            <x v="38"/>
          </reference>
          <reference field="1" count="0" selected="0"/>
          <reference field="2" count="1" selected="0">
            <x v="14"/>
          </reference>
          <reference field="3" count="1">
            <x v="36"/>
          </reference>
        </references>
      </pivotArea>
    </format>
    <format dxfId="47">
      <pivotArea dataOnly="0" labelOnly="1" outline="0" fieldPosition="0">
        <references count="4">
          <reference field="0" count="1" selected="0">
            <x v="18"/>
          </reference>
          <reference field="1" count="0" selected="0"/>
          <reference field="2" count="1" selected="0">
            <x v="15"/>
          </reference>
          <reference field="3" count="1">
            <x v="38"/>
          </reference>
        </references>
      </pivotArea>
    </format>
    <format dxfId="46">
      <pivotArea dataOnly="0" labelOnly="1" outline="0" fieldPosition="0">
        <references count="4">
          <reference field="0" count="1" selected="0">
            <x v="28"/>
          </reference>
          <reference field="1" count="0" selected="0"/>
          <reference field="2" count="1" selected="0">
            <x v="15"/>
          </reference>
          <reference field="3" count="1">
            <x v="39"/>
          </reference>
        </references>
      </pivotArea>
    </format>
    <format dxfId="45">
      <pivotArea dataOnly="0" labelOnly="1" outline="0" fieldPosition="0">
        <references count="4">
          <reference field="0" count="1" selected="0">
            <x v="19"/>
          </reference>
          <reference field="1" count="0" selected="0"/>
          <reference field="2" count="1" selected="0">
            <x v="16"/>
          </reference>
          <reference field="3" count="1">
            <x v="40"/>
          </reference>
        </references>
      </pivotArea>
    </format>
    <format dxfId="44">
      <pivotArea dataOnly="0" labelOnly="1" outline="0" fieldPosition="0">
        <references count="4">
          <reference field="0" count="1" selected="0">
            <x v="20"/>
          </reference>
          <reference field="1" count="0" selected="0"/>
          <reference field="2" count="1" selected="0">
            <x v="16"/>
          </reference>
          <reference field="3" count="1">
            <x v="41"/>
          </reference>
        </references>
      </pivotArea>
    </format>
    <format dxfId="43">
      <pivotArea dataOnly="0" labelOnly="1" outline="0" fieldPosition="0">
        <references count="4">
          <reference field="0" count="1" selected="0">
            <x v="21"/>
          </reference>
          <reference field="1" count="0" selected="0"/>
          <reference field="2" count="1" selected="0">
            <x v="16"/>
          </reference>
          <reference field="3" count="1">
            <x v="42"/>
          </reference>
        </references>
      </pivotArea>
    </format>
    <format dxfId="42">
      <pivotArea dataOnly="0" labelOnly="1" outline="0" fieldPosition="0">
        <references count="4">
          <reference field="0" count="1" selected="0">
            <x v="22"/>
          </reference>
          <reference field="1" count="0" selected="0"/>
          <reference field="2" count="1" selected="0">
            <x v="16"/>
          </reference>
          <reference field="3" count="1">
            <x v="44"/>
          </reference>
        </references>
      </pivotArea>
    </format>
    <format dxfId="41">
      <pivotArea dataOnly="0" labelOnly="1" outline="0" fieldPosition="0">
        <references count="4">
          <reference field="0" count="1" selected="0">
            <x v="39"/>
          </reference>
          <reference field="1" count="0" selected="0"/>
          <reference field="2" count="1" selected="0">
            <x v="16"/>
          </reference>
          <reference field="3" count="1">
            <x v="43"/>
          </reference>
        </references>
      </pivotArea>
    </format>
    <format dxfId="40">
      <pivotArea dataOnly="0" labelOnly="1" outline="0" fieldPosition="0">
        <references count="5">
          <reference field="0" count="1" selected="0">
            <x v="1"/>
          </reference>
          <reference field="1" count="0" selected="0"/>
          <reference field="2" count="1" selected="0">
            <x v="0"/>
          </reference>
          <reference field="3" count="1" selected="0">
            <x v="0"/>
          </reference>
          <reference field="4" count="1">
            <x v="0"/>
          </reference>
        </references>
      </pivotArea>
    </format>
    <format dxfId="39">
      <pivotArea dataOnly="0" labelOnly="1" outline="0" fieldPosition="0">
        <references count="5">
          <reference field="0" count="1" selected="0">
            <x v="2"/>
          </reference>
          <reference field="1" count="0" selected="0"/>
          <reference field="2" count="1" selected="0">
            <x v="1"/>
          </reference>
          <reference field="3" count="1" selected="0">
            <x v="1"/>
          </reference>
          <reference field="4" count="1">
            <x v="1"/>
          </reference>
        </references>
      </pivotArea>
    </format>
    <format dxfId="38">
      <pivotArea dataOnly="0" labelOnly="1" outline="0" fieldPosition="0">
        <references count="5">
          <reference field="0" count="1" selected="0">
            <x v="3"/>
          </reference>
          <reference field="1" count="0" selected="0"/>
          <reference field="2" count="1" selected="0">
            <x v="1"/>
          </reference>
          <reference field="3" count="1" selected="0">
            <x v="2"/>
          </reference>
          <reference field="4" count="1">
            <x v="2"/>
          </reference>
        </references>
      </pivotArea>
    </format>
    <format dxfId="37">
      <pivotArea dataOnly="0" labelOnly="1" outline="0" fieldPosition="0">
        <references count="5">
          <reference field="0" count="1" selected="0">
            <x v="4"/>
          </reference>
          <reference field="1" count="0" selected="0"/>
          <reference field="2" count="1" selected="0">
            <x v="1"/>
          </reference>
          <reference field="3" count="1" selected="0">
            <x v="6"/>
          </reference>
          <reference field="4" count="1">
            <x v="4"/>
          </reference>
        </references>
      </pivotArea>
    </format>
    <format dxfId="36">
      <pivotArea dataOnly="0" labelOnly="1" outline="0" fieldPosition="0">
        <references count="5">
          <reference field="0" count="1" selected="0">
            <x v="5"/>
          </reference>
          <reference field="1" count="0" selected="0"/>
          <reference field="2" count="1" selected="0">
            <x v="1"/>
          </reference>
          <reference field="3" count="1" selected="0">
            <x v="7"/>
          </reference>
          <reference field="4" count="1">
            <x v="4"/>
          </reference>
        </references>
      </pivotArea>
    </format>
    <format dxfId="35">
      <pivotArea dataOnly="0" labelOnly="1" outline="0" fieldPosition="0">
        <references count="5">
          <reference field="0" count="1" selected="0">
            <x v="23"/>
          </reference>
          <reference field="1" count="0" selected="0"/>
          <reference field="2" count="1" selected="0">
            <x v="1"/>
          </reference>
          <reference field="3" count="1" selected="0">
            <x v="4"/>
          </reference>
          <reference field="4" count="1">
            <x v="3"/>
          </reference>
        </references>
      </pivotArea>
    </format>
    <format dxfId="34">
      <pivotArea dataOnly="0" labelOnly="1" outline="0" fieldPosition="0">
        <references count="5">
          <reference field="0" count="1" selected="0">
            <x v="29"/>
          </reference>
          <reference field="1" count="0" selected="0"/>
          <reference field="2" count="1" selected="0">
            <x v="1"/>
          </reference>
          <reference field="3" count="1" selected="0">
            <x v="5"/>
          </reference>
          <reference field="4" count="1">
            <x v="3"/>
          </reference>
        </references>
      </pivotArea>
    </format>
    <format dxfId="33">
      <pivotArea dataOnly="0" labelOnly="1" outline="0" fieldPosition="0">
        <references count="5">
          <reference field="0" count="1" selected="0">
            <x v="0"/>
          </reference>
          <reference field="1" count="0" selected="0"/>
          <reference field="2" count="1" selected="0">
            <x v="3"/>
          </reference>
          <reference field="3" count="1" selected="0">
            <x v="10"/>
          </reference>
          <reference field="4" count="1">
            <x v="6"/>
          </reference>
        </references>
      </pivotArea>
    </format>
    <format dxfId="32">
      <pivotArea dataOnly="0" labelOnly="1" outline="0" fieldPosition="0">
        <references count="5">
          <reference field="0" count="1" selected="0">
            <x v="6"/>
          </reference>
          <reference field="1" count="0" selected="0"/>
          <reference field="2" count="1" selected="0">
            <x v="3"/>
          </reference>
          <reference field="3" count="1" selected="0">
            <x v="9"/>
          </reference>
          <reference field="4" count="1">
            <x v="5"/>
          </reference>
        </references>
      </pivotArea>
    </format>
    <format dxfId="31">
      <pivotArea dataOnly="0" labelOnly="1" outline="0" fieldPosition="0">
        <references count="5">
          <reference field="0" count="1" selected="0">
            <x v="24"/>
          </reference>
          <reference field="1" count="0" selected="0"/>
          <reference field="2" count="1" selected="0">
            <x v="4"/>
          </reference>
          <reference field="3" count="1" selected="0">
            <x v="12"/>
          </reference>
          <reference field="4" count="1">
            <x v="4"/>
          </reference>
        </references>
      </pivotArea>
    </format>
    <format dxfId="30">
      <pivotArea dataOnly="0" labelOnly="1" outline="0" fieldPosition="0">
        <references count="5">
          <reference field="0" count="1" selected="0">
            <x v="30"/>
          </reference>
          <reference field="1" count="0" selected="0"/>
          <reference field="2" count="1" selected="0">
            <x v="4"/>
          </reference>
          <reference field="3" count="1" selected="0">
            <x v="11"/>
          </reference>
          <reference field="4" count="1">
            <x v="3"/>
          </reference>
        </references>
      </pivotArea>
    </format>
    <format dxfId="29">
      <pivotArea dataOnly="0" labelOnly="1" outline="0" fieldPosition="0">
        <references count="5">
          <reference field="0" count="1" selected="0">
            <x v="7"/>
          </reference>
          <reference field="1" count="0" selected="0"/>
          <reference field="2" count="1" selected="0">
            <x v="5"/>
          </reference>
          <reference field="3" count="1" selected="0">
            <x v="13"/>
          </reference>
          <reference field="4" count="1">
            <x v="4"/>
          </reference>
        </references>
      </pivotArea>
    </format>
    <format dxfId="28">
      <pivotArea dataOnly="0" labelOnly="1" outline="0" fieldPosition="0">
        <references count="5">
          <reference field="0" count="1" selected="0">
            <x v="8"/>
          </reference>
          <reference field="1" count="0" selected="0"/>
          <reference field="2" count="1" selected="0">
            <x v="5"/>
          </reference>
          <reference field="3" count="1" selected="0">
            <x v="14"/>
          </reference>
          <reference field="4" count="2">
            <x v="7"/>
            <x v="8"/>
          </reference>
        </references>
      </pivotArea>
    </format>
    <format dxfId="27">
      <pivotArea dataOnly="0" labelOnly="1" outline="0" fieldPosition="0">
        <references count="5">
          <reference field="0" count="1" selected="0">
            <x v="31"/>
          </reference>
          <reference field="1" count="0" selected="0"/>
          <reference field="2" count="1" selected="0">
            <x v="5"/>
          </reference>
          <reference field="3" count="1" selected="0">
            <x v="15"/>
          </reference>
          <reference field="4" count="1">
            <x v="5"/>
          </reference>
        </references>
      </pivotArea>
    </format>
    <format dxfId="26">
      <pivotArea dataOnly="0" labelOnly="1" outline="0" fieldPosition="0">
        <references count="5">
          <reference field="0" count="1" selected="0">
            <x v="25"/>
          </reference>
          <reference field="1" count="0" selected="0"/>
          <reference field="2" count="1" selected="0">
            <x v="7"/>
          </reference>
          <reference field="3" count="1" selected="0">
            <x v="20"/>
          </reference>
          <reference field="4" count="1">
            <x v="2"/>
          </reference>
        </references>
      </pivotArea>
    </format>
    <format dxfId="25">
      <pivotArea dataOnly="0" labelOnly="1" outline="0" fieldPosition="0">
        <references count="5">
          <reference field="0" count="1" selected="0">
            <x v="26"/>
          </reference>
          <reference field="1" count="0" selected="0"/>
          <reference field="2" count="1" selected="0">
            <x v="7"/>
          </reference>
          <reference field="3" count="1" selected="0">
            <x v="21"/>
          </reference>
          <reference field="4" count="1">
            <x v="9"/>
          </reference>
        </references>
      </pivotArea>
    </format>
    <format dxfId="24">
      <pivotArea dataOnly="0" labelOnly="1" outline="0" fieldPosition="0">
        <references count="5">
          <reference field="0" count="1" selected="0">
            <x v="32"/>
          </reference>
          <reference field="1" count="0" selected="0"/>
          <reference field="2" count="1" selected="0">
            <x v="7"/>
          </reference>
          <reference field="3" count="1" selected="0">
            <x v="18"/>
          </reference>
          <reference field="4" count="1">
            <x v="4"/>
          </reference>
        </references>
      </pivotArea>
    </format>
    <format dxfId="23">
      <pivotArea dataOnly="0" labelOnly="1" outline="0" fieldPosition="0">
        <references count="5">
          <reference field="0" count="1" selected="0">
            <x v="33"/>
          </reference>
          <reference field="1" count="0" selected="0"/>
          <reference field="2" count="1" selected="0">
            <x v="7"/>
          </reference>
          <reference field="3" count="1" selected="0">
            <x v="19"/>
          </reference>
          <reference field="4" count="1">
            <x v="4"/>
          </reference>
        </references>
      </pivotArea>
    </format>
    <format dxfId="22">
      <pivotArea dataOnly="0" labelOnly="1" outline="0" fieldPosition="0">
        <references count="5">
          <reference field="0" count="1" selected="0">
            <x v="9"/>
          </reference>
          <reference field="1" count="0" selected="0"/>
          <reference field="2" count="1" selected="0">
            <x v="8"/>
          </reference>
          <reference field="3" count="1" selected="0">
            <x v="24"/>
          </reference>
          <reference field="4" count="1">
            <x v="10"/>
          </reference>
        </references>
      </pivotArea>
    </format>
    <format dxfId="21">
      <pivotArea dataOnly="0" labelOnly="1" outline="0" fieldPosition="0">
        <references count="5">
          <reference field="0" count="1" selected="0">
            <x v="34"/>
          </reference>
          <reference field="1" count="0" selected="0"/>
          <reference field="2" count="1" selected="0">
            <x v="8"/>
          </reference>
          <reference field="3" count="1" selected="0">
            <x v="22"/>
          </reference>
          <reference field="4" count="1">
            <x v="4"/>
          </reference>
        </references>
      </pivotArea>
    </format>
    <format dxfId="20">
      <pivotArea dataOnly="0" labelOnly="1" outline="0" fieldPosition="0">
        <references count="5">
          <reference field="0" count="1" selected="0">
            <x v="35"/>
          </reference>
          <reference field="1" count="0" selected="0"/>
          <reference field="2" count="1" selected="0">
            <x v="8"/>
          </reference>
          <reference field="3" count="1" selected="0">
            <x v="23"/>
          </reference>
          <reference field="4" count="1">
            <x v="9"/>
          </reference>
        </references>
      </pivotArea>
    </format>
    <format dxfId="19">
      <pivotArea dataOnly="0" labelOnly="1" outline="0" fieldPosition="0">
        <references count="5">
          <reference field="0" count="1" selected="0">
            <x v="10"/>
          </reference>
          <reference field="1" count="0" selected="0"/>
          <reference field="2" count="1" selected="0">
            <x v="9"/>
          </reference>
          <reference field="3" count="1" selected="0">
            <x v="25"/>
          </reference>
          <reference field="4" count="1">
            <x v="4"/>
          </reference>
        </references>
      </pivotArea>
    </format>
    <format dxfId="18">
      <pivotArea dataOnly="0" labelOnly="1" outline="0" fieldPosition="0">
        <references count="5">
          <reference field="0" count="1" selected="0">
            <x v="11"/>
          </reference>
          <reference field="1" count="0" selected="0"/>
          <reference field="2" count="1" selected="0">
            <x v="10"/>
          </reference>
          <reference field="3" count="1" selected="0">
            <x v="26"/>
          </reference>
          <reference field="4" count="1">
            <x v="6"/>
          </reference>
        </references>
      </pivotArea>
    </format>
    <format dxfId="17">
      <pivotArea dataOnly="0" labelOnly="1" outline="0" fieldPosition="0">
        <references count="5">
          <reference field="0" count="1" selected="0">
            <x v="36"/>
          </reference>
          <reference field="1" count="0" selected="0"/>
          <reference field="2" count="1" selected="0">
            <x v="11"/>
          </reference>
          <reference field="3" count="1" selected="0">
            <x v="27"/>
          </reference>
          <reference field="4" count="1">
            <x v="4"/>
          </reference>
        </references>
      </pivotArea>
    </format>
    <format dxfId="16">
      <pivotArea dataOnly="0" labelOnly="1" outline="0" fieldPosition="0">
        <references count="5">
          <reference field="0" count="1" selected="0">
            <x v="37"/>
          </reference>
          <reference field="1" count="0" selected="0"/>
          <reference field="2" count="1" selected="0">
            <x v="11"/>
          </reference>
          <reference field="3" count="1" selected="0">
            <x v="28"/>
          </reference>
          <reference field="4" count="1">
            <x v="4"/>
          </reference>
        </references>
      </pivotArea>
    </format>
    <format dxfId="15">
      <pivotArea dataOnly="0" labelOnly="1" outline="0" fieldPosition="0">
        <references count="5">
          <reference field="0" count="1" selected="0">
            <x v="12"/>
          </reference>
          <reference field="1" count="0" selected="0"/>
          <reference field="2" count="1" selected="0">
            <x v="12"/>
          </reference>
          <reference field="3" count="1" selected="0">
            <x v="29"/>
          </reference>
          <reference field="4" count="1">
            <x v="4"/>
          </reference>
        </references>
      </pivotArea>
    </format>
    <format dxfId="14">
      <pivotArea dataOnly="0" labelOnly="1" outline="0" fieldPosition="0">
        <references count="5">
          <reference field="0" count="1" selected="0">
            <x v="13"/>
          </reference>
          <reference field="1" count="0" selected="0"/>
          <reference field="2" count="1" selected="0">
            <x v="12"/>
          </reference>
          <reference field="3" count="1" selected="0">
            <x v="30"/>
          </reference>
          <reference field="4" count="1">
            <x v="4"/>
          </reference>
        </references>
      </pivotArea>
    </format>
    <format dxfId="13">
      <pivotArea dataOnly="0" labelOnly="1" outline="0" fieldPosition="0">
        <references count="5">
          <reference field="0" count="1" selected="0">
            <x v="14"/>
          </reference>
          <reference field="1" count="0" selected="0"/>
          <reference field="2" count="1" selected="0">
            <x v="12"/>
          </reference>
          <reference field="3" count="1" selected="0">
            <x v="31"/>
          </reference>
          <reference field="4" count="1">
            <x v="4"/>
          </reference>
        </references>
      </pivotArea>
    </format>
    <format dxfId="12">
      <pivotArea dataOnly="0" labelOnly="1" outline="0" fieldPosition="0">
        <references count="5">
          <reference field="0" count="1" selected="0">
            <x v="15"/>
          </reference>
          <reference field="1" count="0" selected="0"/>
          <reference field="2" count="1" selected="0">
            <x v="12"/>
          </reference>
          <reference field="3" count="1" selected="0">
            <x v="32"/>
          </reference>
          <reference field="4" count="1">
            <x v="11"/>
          </reference>
        </references>
      </pivotArea>
    </format>
    <format dxfId="11">
      <pivotArea dataOnly="0" labelOnly="1" outline="0" fieldPosition="0">
        <references count="5">
          <reference field="0" count="1" selected="0">
            <x v="16"/>
          </reference>
          <reference field="1" count="0" selected="0"/>
          <reference field="2" count="1" selected="0">
            <x v="12"/>
          </reference>
          <reference field="3" count="1" selected="0">
            <x v="33"/>
          </reference>
          <reference field="4" count="1">
            <x v="4"/>
          </reference>
        </references>
      </pivotArea>
    </format>
    <format dxfId="10">
      <pivotArea dataOnly="0" labelOnly="1" outline="0" fieldPosition="0">
        <references count="5">
          <reference field="0" count="1" selected="0">
            <x v="17"/>
          </reference>
          <reference field="1" count="0" selected="0"/>
          <reference field="2" count="1" selected="0">
            <x v="13"/>
          </reference>
          <reference field="3" count="1" selected="0">
            <x v="34"/>
          </reference>
          <reference field="4" count="1">
            <x v="12"/>
          </reference>
        </references>
      </pivotArea>
    </format>
    <format dxfId="9">
      <pivotArea dataOnly="0" labelOnly="1" outline="0" fieldPosition="0">
        <references count="5">
          <reference field="0" count="1" selected="0">
            <x v="27"/>
          </reference>
          <reference field="1" count="0" selected="0"/>
          <reference field="2" count="1" selected="0">
            <x v="14"/>
          </reference>
          <reference field="3" count="1" selected="0">
            <x v="37"/>
          </reference>
          <reference field="4" count="1">
            <x v="13"/>
          </reference>
        </references>
      </pivotArea>
    </format>
    <format dxfId="8">
      <pivotArea dataOnly="0" labelOnly="1" outline="0" fieldPosition="0">
        <references count="5">
          <reference field="0" count="1" selected="0">
            <x v="38"/>
          </reference>
          <reference field="1" count="0" selected="0"/>
          <reference field="2" count="1" selected="0">
            <x v="14"/>
          </reference>
          <reference field="3" count="1" selected="0">
            <x v="36"/>
          </reference>
          <reference field="4" count="1">
            <x v="9"/>
          </reference>
        </references>
      </pivotArea>
    </format>
    <format dxfId="7">
      <pivotArea dataOnly="0" labelOnly="1" outline="0" fieldPosition="0">
        <references count="5">
          <reference field="0" count="1" selected="0">
            <x v="18"/>
          </reference>
          <reference field="1" count="0" selected="0"/>
          <reference field="2" count="1" selected="0">
            <x v="15"/>
          </reference>
          <reference field="3" count="1" selected="0">
            <x v="38"/>
          </reference>
          <reference field="4" count="1">
            <x v="0"/>
          </reference>
        </references>
      </pivotArea>
    </format>
    <format dxfId="6">
      <pivotArea dataOnly="0" labelOnly="1" outline="0" fieldPosition="0">
        <references count="5">
          <reference field="0" count="1" selected="0">
            <x v="28"/>
          </reference>
          <reference field="1" count="0" selected="0"/>
          <reference field="2" count="1" selected="0">
            <x v="15"/>
          </reference>
          <reference field="3" count="1" selected="0">
            <x v="39"/>
          </reference>
          <reference field="4" count="1">
            <x v="13"/>
          </reference>
        </references>
      </pivotArea>
    </format>
    <format dxfId="5">
      <pivotArea dataOnly="0" labelOnly="1" outline="0" fieldPosition="0">
        <references count="5">
          <reference field="0" count="1" selected="0">
            <x v="19"/>
          </reference>
          <reference field="1" count="0" selected="0"/>
          <reference field="2" count="1" selected="0">
            <x v="16"/>
          </reference>
          <reference field="3" count="1" selected="0">
            <x v="40"/>
          </reference>
          <reference field="4" count="1">
            <x v="4"/>
          </reference>
        </references>
      </pivotArea>
    </format>
    <format dxfId="4">
      <pivotArea dataOnly="0" labelOnly="1" outline="0" fieldPosition="0">
        <references count="5">
          <reference field="0" count="1" selected="0">
            <x v="20"/>
          </reference>
          <reference field="1" count="0" selected="0"/>
          <reference field="2" count="1" selected="0">
            <x v="16"/>
          </reference>
          <reference field="3" count="1" selected="0">
            <x v="41"/>
          </reference>
          <reference field="4" count="2">
            <x v="6"/>
            <x v="8"/>
          </reference>
        </references>
      </pivotArea>
    </format>
    <format dxfId="3">
      <pivotArea dataOnly="0" labelOnly="1" outline="0" fieldPosition="0">
        <references count="5">
          <reference field="0" count="1" selected="0">
            <x v="21"/>
          </reference>
          <reference field="1" count="0" selected="0"/>
          <reference field="2" count="1" selected="0">
            <x v="16"/>
          </reference>
          <reference field="3" count="1" selected="0">
            <x v="42"/>
          </reference>
          <reference field="4" count="1">
            <x v="3"/>
          </reference>
        </references>
      </pivotArea>
    </format>
    <format dxfId="2">
      <pivotArea dataOnly="0" labelOnly="1" outline="0" fieldPosition="0">
        <references count="5">
          <reference field="0" count="1" selected="0">
            <x v="22"/>
          </reference>
          <reference field="1" count="0" selected="0"/>
          <reference field="2" count="1" selected="0">
            <x v="16"/>
          </reference>
          <reference field="3" count="1" selected="0">
            <x v="44"/>
          </reference>
          <reference field="4" count="1">
            <x v="15"/>
          </reference>
        </references>
      </pivotArea>
    </format>
    <format dxfId="1">
      <pivotArea dataOnly="0" labelOnly="1" outline="0" fieldPosition="0">
        <references count="5">
          <reference field="0" count="1" selected="0">
            <x v="39"/>
          </reference>
          <reference field="1" count="0" selected="0"/>
          <reference field="2" count="1" selected="0">
            <x v="16"/>
          </reference>
          <reference field="3" count="1" selected="0">
            <x v="43"/>
          </reference>
          <reference field="4" count="1">
            <x v="14"/>
          </reference>
        </references>
      </pivotArea>
    </format>
    <format dxfId="0">
      <pivotArea dataOnly="0" labelOnly="1" outline="0" axis="axisValues" fieldPosition="0"/>
    </format>
  </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Vol Mensual"/>
    <pivotHierarchy dragToData="1" caption="Máx. de Ruc"/>
    <pivotHierarchy dragToData="1"/>
    <pivotHierarchy dragToData="1"/>
    <pivotHierarchy dragToData="1"/>
    <pivotHierarchy dragToData="1" caption="Vol M0 "/>
    <pivotHierarchy dragToData="1"/>
  </pivotHierarchies>
  <pivotTableStyleInfo name="PivotStyleLight16" showRowHeaders="1" showColHeaders="1" showRowStripes="0" showColStripes="0" showLastColumn="1"/>
  <rowHierarchiesUsage count="5">
    <rowHierarchyUsage hierarchyUsage="1"/>
    <rowHierarchyUsage hierarchyUsage="17"/>
    <rowHierarchyUsage hierarchyUsage="7"/>
    <rowHierarchyUsage hierarchyUsage="8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Data Izipay.xlsx!Data.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3A3CD-C55A-4E1E-9364-D07092E3A3D8}" name="TablaDinámica1" cacheId="19" applyNumberFormats="0" applyBorderFormats="0" applyFontFormats="0" applyPatternFormats="0" applyAlignmentFormats="0" applyWidthHeightFormats="1" dataCaption="Valores" updatedVersion="7" minRefreshableVersion="3" useAutoFormatting="1" subtotalHiddenItems="1" itemPrintTitles="1" createdVersion="7" indent="0" compact="0" compactData="0" multipleFieldFilters="0">
  <location ref="A1:E29" firstHeaderRow="1" firstDataRow="1" firstDataCol="4"/>
  <pivotFields count="5">
    <pivotField axis="axisRow" compact="0" allDrilled="1" outline="0" subtotalTop="0" showAll="0" defaultSubtotal="0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"/>
    <field x="2"/>
    <field x="0"/>
    <field x="3"/>
  </rowFields>
  <rowItems count="28">
    <i>
      <x/>
      <x/>
      <x/>
      <x/>
    </i>
    <i r="1">
      <x v="1"/>
      <x v="1"/>
      <x v="1"/>
    </i>
    <i r="1">
      <x v="2"/>
      <x v="2"/>
      <x v="2"/>
    </i>
    <i r="1">
      <x v="3"/>
      <x v="3"/>
      <x v="3"/>
    </i>
    <i r="1">
      <x v="4"/>
      <x v="4"/>
      <x v="4"/>
    </i>
    <i r="1">
      <x v="5"/>
      <x v="5"/>
      <x v="5"/>
    </i>
    <i r="1">
      <x v="6"/>
      <x v="6"/>
      <x v="6"/>
    </i>
    <i r="1">
      <x v="7"/>
      <x v="7"/>
      <x v="7"/>
    </i>
    <i r="2">
      <x v="8"/>
      <x v="8"/>
    </i>
    <i r="1">
      <x v="8"/>
      <x v="9"/>
      <x v="9"/>
    </i>
    <i r="2">
      <x v="10"/>
      <x v="10"/>
    </i>
    <i r="2">
      <x v="11"/>
      <x v="11"/>
    </i>
    <i r="1">
      <x v="9"/>
      <x v="12"/>
      <x v="12"/>
    </i>
    <i r="1">
      <x v="10"/>
      <x v="13"/>
      <x v="13"/>
    </i>
    <i r="1">
      <x v="11"/>
      <x v="14"/>
      <x v="14"/>
    </i>
    <i r="1">
      <x v="12"/>
      <x v="15"/>
      <x v="15"/>
    </i>
    <i r="1">
      <x v="13"/>
      <x v="16"/>
      <x v="16"/>
    </i>
    <i r="1">
      <x v="14"/>
      <x v="17"/>
      <x v="17"/>
    </i>
    <i r="2">
      <x v="18"/>
      <x v="18"/>
    </i>
    <i r="2">
      <x v="19"/>
      <x v="19"/>
    </i>
    <i r="1">
      <x v="15"/>
      <x v="20"/>
      <x v="20"/>
    </i>
    <i r="2">
      <x v="21"/>
      <x v="21"/>
    </i>
    <i r="1">
      <x v="16"/>
      <x v="22"/>
      <x v="22"/>
    </i>
    <i r="1">
      <x v="17"/>
      <x v="23"/>
      <x v="23"/>
    </i>
    <i r="1">
      <x v="18"/>
      <x v="24"/>
      <x v="24"/>
    </i>
    <i r="2">
      <x v="25"/>
      <x v="25"/>
    </i>
    <i r="1">
      <x v="19"/>
      <x v="26"/>
      <x v="26"/>
    </i>
    <i t="grand">
      <x/>
    </i>
  </rowItems>
  <colItems count="1">
    <i/>
  </colItems>
  <dataFields count="1">
    <dataField name="Vol M1 " fld="4" baseField="3" baseItem="4" numFmtId="1"/>
  </dataFields>
  <formats count="71">
    <format dxfId="192">
      <pivotArea dataOnly="0" labelOnly="1" outline="0" fieldPosition="0">
        <references count="1">
          <reference field="1" count="0"/>
        </references>
      </pivotArea>
    </format>
    <format dxfId="191">
      <pivotArea type="all" dataOnly="0" outline="0" fieldPosition="0"/>
    </format>
    <format dxfId="190">
      <pivotArea field="1" type="button" dataOnly="0" labelOnly="1" outline="0" axis="axisRow" fieldPosition="0"/>
    </format>
    <format dxfId="189">
      <pivotArea field="0" type="button" dataOnly="0" labelOnly="1" outline="0" axis="axisRow" fieldPosition="2"/>
    </format>
    <format dxfId="188">
      <pivotArea dataOnly="0" labelOnly="1" outline="0" fieldPosition="0">
        <references count="1">
          <reference field="1" count="0"/>
        </references>
      </pivotArea>
    </format>
    <format dxfId="187">
      <pivotArea dataOnly="0" labelOnly="1" grandRow="1" outline="0" fieldPosition="0"/>
    </format>
    <format dxfId="186">
      <pivotArea type="all" dataOnly="0" outline="0" fieldPosition="0"/>
    </format>
    <format dxfId="185">
      <pivotArea field="1" type="button" dataOnly="0" labelOnly="1" outline="0" axis="axisRow" fieldPosition="0"/>
    </format>
    <format dxfId="184">
      <pivotArea field="0" type="button" dataOnly="0" labelOnly="1" outline="0" axis="axisRow" fieldPosition="2"/>
    </format>
    <format dxfId="183">
      <pivotArea dataOnly="0" labelOnly="1" outline="0" fieldPosition="0">
        <references count="1">
          <reference field="1" count="0"/>
        </references>
      </pivotArea>
    </format>
    <format dxfId="182">
      <pivotArea dataOnly="0" labelOnly="1" grandRow="1" outline="0" fieldPosition="0"/>
    </format>
    <format dxfId="181">
      <pivotArea dataOnly="0" labelOnly="1" grandRow="1" outline="0" fieldPosition="0"/>
    </format>
    <format dxfId="180">
      <pivotArea dataOnly="0" labelOnly="1" outline="0" fieldPosition="0">
        <references count="1">
          <reference field="3" count="0"/>
        </references>
      </pivotArea>
    </format>
    <format dxfId="179">
      <pivotArea outline="0" fieldPosition="0">
        <references count="1">
          <reference field="4294967294" count="1">
            <x v="0"/>
          </reference>
        </references>
      </pivotArea>
    </format>
    <format dxfId="178">
      <pivotArea type="all" dataOnly="0" outline="0" fieldPosition="0"/>
    </format>
    <format dxfId="177">
      <pivotArea outline="0" collapsedLevelsAreSubtotals="1" fieldPosition="0"/>
    </format>
    <format dxfId="176">
      <pivotArea field="1" type="button" dataOnly="0" labelOnly="1" outline="0" axis="axisRow" fieldPosition="0"/>
    </format>
    <format dxfId="175">
      <pivotArea field="2" type="button" dataOnly="0" labelOnly="1" outline="0" axis="axisRow" fieldPosition="1"/>
    </format>
    <format dxfId="174">
      <pivotArea field="0" type="button" dataOnly="0" labelOnly="1" outline="0" axis="axisRow" fieldPosition="2"/>
    </format>
    <format dxfId="173">
      <pivotArea field="3" type="button" dataOnly="0" labelOnly="1" outline="0" axis="axisRow" fieldPosition="3"/>
    </format>
    <format dxfId="172">
      <pivotArea dataOnly="0" labelOnly="1" outline="0" fieldPosition="0">
        <references count="1">
          <reference field="1" count="0"/>
        </references>
      </pivotArea>
    </format>
    <format dxfId="171">
      <pivotArea dataOnly="0" labelOnly="1" grandRow="1" outline="0" fieldPosition="0"/>
    </format>
    <format dxfId="170">
      <pivotArea dataOnly="0" labelOnly="1" outline="0" fieldPosition="0">
        <references count="2">
          <reference field="1" count="0" selected="0"/>
          <reference field="2" count="0"/>
        </references>
      </pivotArea>
    </format>
    <format dxfId="169">
      <pivotArea dataOnly="0" labelOnly="1" outline="0" fieldPosition="0">
        <references count="3">
          <reference field="0" count="1">
            <x v="0"/>
          </reference>
          <reference field="1" count="0" selected="0"/>
          <reference field="2" count="1" selected="0">
            <x v="0"/>
          </reference>
        </references>
      </pivotArea>
    </format>
    <format dxfId="168">
      <pivotArea dataOnly="0" labelOnly="1" outline="0" fieldPosition="0">
        <references count="3">
          <reference field="0" count="1">
            <x v="1"/>
          </reference>
          <reference field="1" count="0" selected="0"/>
          <reference field="2" count="1" selected="0">
            <x v="1"/>
          </reference>
        </references>
      </pivotArea>
    </format>
    <format dxfId="167">
      <pivotArea dataOnly="0" labelOnly="1" outline="0" fieldPosition="0">
        <references count="3">
          <reference field="0" count="1">
            <x v="2"/>
          </reference>
          <reference field="1" count="0" selected="0"/>
          <reference field="2" count="1" selected="0">
            <x v="2"/>
          </reference>
        </references>
      </pivotArea>
    </format>
    <format dxfId="166">
      <pivotArea dataOnly="0" labelOnly="1" outline="0" fieldPosition="0">
        <references count="3">
          <reference field="0" count="1">
            <x v="3"/>
          </reference>
          <reference field="1" count="0" selected="0"/>
          <reference field="2" count="1" selected="0">
            <x v="3"/>
          </reference>
        </references>
      </pivotArea>
    </format>
    <format dxfId="165">
      <pivotArea dataOnly="0" labelOnly="1" outline="0" fieldPosition="0">
        <references count="3">
          <reference field="0" count="1">
            <x v="4"/>
          </reference>
          <reference field="1" count="0" selected="0"/>
          <reference field="2" count="1" selected="0">
            <x v="4"/>
          </reference>
        </references>
      </pivotArea>
    </format>
    <format dxfId="164">
      <pivotArea dataOnly="0" labelOnly="1" outline="0" fieldPosition="0">
        <references count="3">
          <reference field="0" count="1">
            <x v="5"/>
          </reference>
          <reference field="1" count="0" selected="0"/>
          <reference field="2" count="1" selected="0">
            <x v="5"/>
          </reference>
        </references>
      </pivotArea>
    </format>
    <format dxfId="163">
      <pivotArea dataOnly="0" labelOnly="1" outline="0" fieldPosition="0">
        <references count="3">
          <reference field="0" count="1">
            <x v="6"/>
          </reference>
          <reference field="1" count="0" selected="0"/>
          <reference field="2" count="1" selected="0">
            <x v="6"/>
          </reference>
        </references>
      </pivotArea>
    </format>
    <format dxfId="162">
      <pivotArea dataOnly="0" labelOnly="1" outline="0" fieldPosition="0">
        <references count="3">
          <reference field="0" count="2">
            <x v="7"/>
            <x v="8"/>
          </reference>
          <reference field="1" count="0" selected="0"/>
          <reference field="2" count="1" selected="0">
            <x v="7"/>
          </reference>
        </references>
      </pivotArea>
    </format>
    <format dxfId="161">
      <pivotArea dataOnly="0" labelOnly="1" outline="0" fieldPosition="0">
        <references count="3">
          <reference field="0" count="3">
            <x v="9"/>
            <x v="10"/>
            <x v="11"/>
          </reference>
          <reference field="1" count="0" selected="0"/>
          <reference field="2" count="1" selected="0">
            <x v="8"/>
          </reference>
        </references>
      </pivotArea>
    </format>
    <format dxfId="160">
      <pivotArea dataOnly="0" labelOnly="1" outline="0" fieldPosition="0">
        <references count="3">
          <reference field="0" count="1">
            <x v="12"/>
          </reference>
          <reference field="1" count="0" selected="0"/>
          <reference field="2" count="1" selected="0">
            <x v="9"/>
          </reference>
        </references>
      </pivotArea>
    </format>
    <format dxfId="159">
      <pivotArea dataOnly="0" labelOnly="1" outline="0" fieldPosition="0">
        <references count="3">
          <reference field="0" count="1">
            <x v="13"/>
          </reference>
          <reference field="1" count="0" selected="0"/>
          <reference field="2" count="1" selected="0">
            <x v="10"/>
          </reference>
        </references>
      </pivotArea>
    </format>
    <format dxfId="158">
      <pivotArea dataOnly="0" labelOnly="1" outline="0" fieldPosition="0">
        <references count="3">
          <reference field="0" count="1">
            <x v="14"/>
          </reference>
          <reference field="1" count="0" selected="0"/>
          <reference field="2" count="1" selected="0">
            <x v="11"/>
          </reference>
        </references>
      </pivotArea>
    </format>
    <format dxfId="157">
      <pivotArea dataOnly="0" labelOnly="1" outline="0" fieldPosition="0">
        <references count="3">
          <reference field="0" count="1">
            <x v="15"/>
          </reference>
          <reference field="1" count="0" selected="0"/>
          <reference field="2" count="1" selected="0">
            <x v="12"/>
          </reference>
        </references>
      </pivotArea>
    </format>
    <format dxfId="156">
      <pivotArea dataOnly="0" labelOnly="1" outline="0" fieldPosition="0">
        <references count="3">
          <reference field="0" count="1">
            <x v="16"/>
          </reference>
          <reference field="1" count="0" selected="0"/>
          <reference field="2" count="1" selected="0">
            <x v="13"/>
          </reference>
        </references>
      </pivotArea>
    </format>
    <format dxfId="155">
      <pivotArea dataOnly="0" labelOnly="1" outline="0" fieldPosition="0">
        <references count="3">
          <reference field="0" count="3">
            <x v="17"/>
            <x v="18"/>
            <x v="19"/>
          </reference>
          <reference field="1" count="0" selected="0"/>
          <reference field="2" count="1" selected="0">
            <x v="14"/>
          </reference>
        </references>
      </pivotArea>
    </format>
    <format dxfId="154">
      <pivotArea dataOnly="0" labelOnly="1" outline="0" fieldPosition="0">
        <references count="3">
          <reference field="0" count="2">
            <x v="20"/>
            <x v="21"/>
          </reference>
          <reference field="1" count="0" selected="0"/>
          <reference field="2" count="1" selected="0">
            <x v="15"/>
          </reference>
        </references>
      </pivotArea>
    </format>
    <format dxfId="153">
      <pivotArea dataOnly="0" labelOnly="1" outline="0" fieldPosition="0">
        <references count="3">
          <reference field="0" count="1">
            <x v="22"/>
          </reference>
          <reference field="1" count="0" selected="0"/>
          <reference field="2" count="1" selected="0">
            <x v="16"/>
          </reference>
        </references>
      </pivotArea>
    </format>
    <format dxfId="152">
      <pivotArea dataOnly="0" labelOnly="1" outline="0" fieldPosition="0">
        <references count="3">
          <reference field="0" count="1">
            <x v="23"/>
          </reference>
          <reference field="1" count="0" selected="0"/>
          <reference field="2" count="1" selected="0">
            <x v="17"/>
          </reference>
        </references>
      </pivotArea>
    </format>
    <format dxfId="151">
      <pivotArea dataOnly="0" labelOnly="1" outline="0" fieldPosition="0">
        <references count="3">
          <reference field="0" count="2">
            <x v="24"/>
            <x v="25"/>
          </reference>
          <reference field="1" count="0" selected="0"/>
          <reference field="2" count="1" selected="0">
            <x v="18"/>
          </reference>
        </references>
      </pivotArea>
    </format>
    <format dxfId="150">
      <pivotArea dataOnly="0" labelOnly="1" outline="0" fieldPosition="0">
        <references count="3">
          <reference field="0" count="1">
            <x v="26"/>
          </reference>
          <reference field="1" count="0" selected="0"/>
          <reference field="2" count="1" selected="0">
            <x v="19"/>
          </reference>
        </references>
      </pivotArea>
    </format>
    <format dxfId="149">
      <pivotArea dataOnly="0" labelOnly="1" outline="0" fieldPosition="0">
        <references count="4">
          <reference field="0" count="1" selected="0">
            <x v="0"/>
          </reference>
          <reference field="1" count="0" selected="0"/>
          <reference field="2" count="1" selected="0">
            <x v="0"/>
          </reference>
          <reference field="3" count="1">
            <x v="0"/>
          </reference>
        </references>
      </pivotArea>
    </format>
    <format dxfId="148">
      <pivotArea dataOnly="0" labelOnly="1" outline="0" fieldPosition="0">
        <references count="4">
          <reference field="0" count="1" selected="0">
            <x v="1"/>
          </reference>
          <reference field="1" count="0" selected="0"/>
          <reference field="2" count="1" selected="0">
            <x v="1"/>
          </reference>
          <reference field="3" count="1">
            <x v="1"/>
          </reference>
        </references>
      </pivotArea>
    </format>
    <format dxfId="147">
      <pivotArea dataOnly="0" labelOnly="1" outline="0" fieldPosition="0">
        <references count="4">
          <reference field="0" count="1" selected="0">
            <x v="2"/>
          </reference>
          <reference field="1" count="0" selected="0"/>
          <reference field="2" count="1" selected="0">
            <x v="2"/>
          </reference>
          <reference field="3" count="1">
            <x v="2"/>
          </reference>
        </references>
      </pivotArea>
    </format>
    <format dxfId="146">
      <pivotArea dataOnly="0" labelOnly="1" outline="0" fieldPosition="0">
        <references count="4">
          <reference field="0" count="1" selected="0">
            <x v="3"/>
          </reference>
          <reference field="1" count="0" selected="0"/>
          <reference field="2" count="1" selected="0">
            <x v="3"/>
          </reference>
          <reference field="3" count="1">
            <x v="3"/>
          </reference>
        </references>
      </pivotArea>
    </format>
    <format dxfId="145">
      <pivotArea dataOnly="0" labelOnly="1" outline="0" fieldPosition="0">
        <references count="4">
          <reference field="0" count="1" selected="0">
            <x v="4"/>
          </reference>
          <reference field="1" count="0" selected="0"/>
          <reference field="2" count="1" selected="0">
            <x v="4"/>
          </reference>
          <reference field="3" count="1">
            <x v="4"/>
          </reference>
        </references>
      </pivotArea>
    </format>
    <format dxfId="144">
      <pivotArea dataOnly="0" labelOnly="1" outline="0" fieldPosition="0">
        <references count="4">
          <reference field="0" count="1" selected="0">
            <x v="5"/>
          </reference>
          <reference field="1" count="0" selected="0"/>
          <reference field="2" count="1" selected="0">
            <x v="5"/>
          </reference>
          <reference field="3" count="1">
            <x v="5"/>
          </reference>
        </references>
      </pivotArea>
    </format>
    <format dxfId="143">
      <pivotArea dataOnly="0" labelOnly="1" outline="0" fieldPosition="0">
        <references count="4">
          <reference field="0" count="1" selected="0">
            <x v="6"/>
          </reference>
          <reference field="1" count="0" selected="0"/>
          <reference field="2" count="1" selected="0">
            <x v="6"/>
          </reference>
          <reference field="3" count="1">
            <x v="6"/>
          </reference>
        </references>
      </pivotArea>
    </format>
    <format dxfId="142">
      <pivotArea dataOnly="0" labelOnly="1" outline="0" fieldPosition="0">
        <references count="4">
          <reference field="0" count="1" selected="0">
            <x v="7"/>
          </reference>
          <reference field="1" count="0" selected="0"/>
          <reference field="2" count="1" selected="0">
            <x v="7"/>
          </reference>
          <reference field="3" count="1">
            <x v="7"/>
          </reference>
        </references>
      </pivotArea>
    </format>
    <format dxfId="141">
      <pivotArea dataOnly="0" labelOnly="1" outline="0" fieldPosition="0">
        <references count="4">
          <reference field="0" count="1" selected="0">
            <x v="8"/>
          </reference>
          <reference field="1" count="0" selected="0"/>
          <reference field="2" count="1" selected="0">
            <x v="7"/>
          </reference>
          <reference field="3" count="1">
            <x v="8"/>
          </reference>
        </references>
      </pivotArea>
    </format>
    <format dxfId="140">
      <pivotArea dataOnly="0" labelOnly="1" outline="0" fieldPosition="0">
        <references count="4">
          <reference field="0" count="1" selected="0">
            <x v="9"/>
          </reference>
          <reference field="1" count="0" selected="0"/>
          <reference field="2" count="1" selected="0">
            <x v="8"/>
          </reference>
          <reference field="3" count="1">
            <x v="9"/>
          </reference>
        </references>
      </pivotArea>
    </format>
    <format dxfId="139">
      <pivotArea dataOnly="0" labelOnly="1" outline="0" fieldPosition="0">
        <references count="4">
          <reference field="0" count="1" selected="0">
            <x v="10"/>
          </reference>
          <reference field="1" count="0" selected="0"/>
          <reference field="2" count="1" selected="0">
            <x v="8"/>
          </reference>
          <reference field="3" count="1">
            <x v="10"/>
          </reference>
        </references>
      </pivotArea>
    </format>
    <format dxfId="138">
      <pivotArea dataOnly="0" labelOnly="1" outline="0" fieldPosition="0">
        <references count="4">
          <reference field="0" count="1" selected="0">
            <x v="11"/>
          </reference>
          <reference field="1" count="0" selected="0"/>
          <reference field="2" count="1" selected="0">
            <x v="8"/>
          </reference>
          <reference field="3" count="1">
            <x v="11"/>
          </reference>
        </references>
      </pivotArea>
    </format>
    <format dxfId="137">
      <pivotArea dataOnly="0" labelOnly="1" outline="0" fieldPosition="0">
        <references count="4">
          <reference field="0" count="1" selected="0">
            <x v="12"/>
          </reference>
          <reference field="1" count="0" selected="0"/>
          <reference field="2" count="1" selected="0">
            <x v="9"/>
          </reference>
          <reference field="3" count="1">
            <x v="12"/>
          </reference>
        </references>
      </pivotArea>
    </format>
    <format dxfId="136">
      <pivotArea dataOnly="0" labelOnly="1" outline="0" fieldPosition="0">
        <references count="4">
          <reference field="0" count="1" selected="0">
            <x v="13"/>
          </reference>
          <reference field="1" count="0" selected="0"/>
          <reference field="2" count="1" selected="0">
            <x v="10"/>
          </reference>
          <reference field="3" count="1">
            <x v="13"/>
          </reference>
        </references>
      </pivotArea>
    </format>
    <format dxfId="135">
      <pivotArea dataOnly="0" labelOnly="1" outline="0" fieldPosition="0">
        <references count="4">
          <reference field="0" count="1" selected="0">
            <x v="14"/>
          </reference>
          <reference field="1" count="0" selected="0"/>
          <reference field="2" count="1" selected="0">
            <x v="11"/>
          </reference>
          <reference field="3" count="1">
            <x v="14"/>
          </reference>
        </references>
      </pivotArea>
    </format>
    <format dxfId="134">
      <pivotArea dataOnly="0" labelOnly="1" outline="0" fieldPosition="0">
        <references count="4">
          <reference field="0" count="1" selected="0">
            <x v="15"/>
          </reference>
          <reference field="1" count="0" selected="0"/>
          <reference field="2" count="1" selected="0">
            <x v="12"/>
          </reference>
          <reference field="3" count="1">
            <x v="15"/>
          </reference>
        </references>
      </pivotArea>
    </format>
    <format dxfId="133">
      <pivotArea dataOnly="0" labelOnly="1" outline="0" fieldPosition="0">
        <references count="4">
          <reference field="0" count="1" selected="0">
            <x v="16"/>
          </reference>
          <reference field="1" count="0" selected="0"/>
          <reference field="2" count="1" selected="0">
            <x v="13"/>
          </reference>
          <reference field="3" count="1">
            <x v="16"/>
          </reference>
        </references>
      </pivotArea>
    </format>
    <format dxfId="132">
      <pivotArea dataOnly="0" labelOnly="1" outline="0" fieldPosition="0">
        <references count="4">
          <reference field="0" count="1" selected="0">
            <x v="17"/>
          </reference>
          <reference field="1" count="0" selected="0"/>
          <reference field="2" count="1" selected="0">
            <x v="14"/>
          </reference>
          <reference field="3" count="1">
            <x v="17"/>
          </reference>
        </references>
      </pivotArea>
    </format>
    <format dxfId="131">
      <pivotArea dataOnly="0" labelOnly="1" outline="0" fieldPosition="0">
        <references count="4">
          <reference field="0" count="1" selected="0">
            <x v="18"/>
          </reference>
          <reference field="1" count="0" selected="0"/>
          <reference field="2" count="1" selected="0">
            <x v="14"/>
          </reference>
          <reference field="3" count="1">
            <x v="18"/>
          </reference>
        </references>
      </pivotArea>
    </format>
    <format dxfId="130">
      <pivotArea dataOnly="0" labelOnly="1" outline="0" fieldPosition="0">
        <references count="4">
          <reference field="0" count="1" selected="0">
            <x v="19"/>
          </reference>
          <reference field="1" count="0" selected="0"/>
          <reference field="2" count="1" selected="0">
            <x v="14"/>
          </reference>
          <reference field="3" count="1">
            <x v="19"/>
          </reference>
        </references>
      </pivotArea>
    </format>
    <format dxfId="129">
      <pivotArea dataOnly="0" labelOnly="1" outline="0" fieldPosition="0">
        <references count="4">
          <reference field="0" count="1" selected="0">
            <x v="20"/>
          </reference>
          <reference field="1" count="0" selected="0"/>
          <reference field="2" count="1" selected="0">
            <x v="15"/>
          </reference>
          <reference field="3" count="1">
            <x v="20"/>
          </reference>
        </references>
      </pivotArea>
    </format>
    <format dxfId="128">
      <pivotArea dataOnly="0" labelOnly="1" outline="0" fieldPosition="0">
        <references count="4">
          <reference field="0" count="1" selected="0">
            <x v="21"/>
          </reference>
          <reference field="1" count="0" selected="0"/>
          <reference field="2" count="1" selected="0">
            <x v="15"/>
          </reference>
          <reference field="3" count="1">
            <x v="21"/>
          </reference>
        </references>
      </pivotArea>
    </format>
    <format dxfId="127">
      <pivotArea dataOnly="0" labelOnly="1" outline="0" fieldPosition="0">
        <references count="4">
          <reference field="0" count="1" selected="0">
            <x v="22"/>
          </reference>
          <reference field="1" count="0" selected="0"/>
          <reference field="2" count="1" selected="0">
            <x v="16"/>
          </reference>
          <reference field="3" count="1">
            <x v="22"/>
          </reference>
        </references>
      </pivotArea>
    </format>
    <format dxfId="126">
      <pivotArea dataOnly="0" labelOnly="1" outline="0" fieldPosition="0">
        <references count="4">
          <reference field="0" count="1" selected="0">
            <x v="23"/>
          </reference>
          <reference field="1" count="0" selected="0"/>
          <reference field="2" count="1" selected="0">
            <x v="17"/>
          </reference>
          <reference field="3" count="1">
            <x v="23"/>
          </reference>
        </references>
      </pivotArea>
    </format>
    <format dxfId="125">
      <pivotArea dataOnly="0" labelOnly="1" outline="0" fieldPosition="0">
        <references count="4">
          <reference field="0" count="1" selected="0">
            <x v="24"/>
          </reference>
          <reference field="1" count="0" selected="0"/>
          <reference field="2" count="1" selected="0">
            <x v="18"/>
          </reference>
          <reference field="3" count="1">
            <x v="24"/>
          </reference>
        </references>
      </pivotArea>
    </format>
    <format dxfId="124">
      <pivotArea dataOnly="0" labelOnly="1" outline="0" fieldPosition="0">
        <references count="4">
          <reference field="0" count="1" selected="0">
            <x v="25"/>
          </reference>
          <reference field="1" count="0" selected="0"/>
          <reference field="2" count="1" selected="0">
            <x v="18"/>
          </reference>
          <reference field="3" count="1">
            <x v="25"/>
          </reference>
        </references>
      </pivotArea>
    </format>
    <format dxfId="123">
      <pivotArea dataOnly="0" labelOnly="1" outline="0" fieldPosition="0">
        <references count="4">
          <reference field="0" count="1" selected="0">
            <x v="26"/>
          </reference>
          <reference field="1" count="0" selected="0"/>
          <reference field="2" count="1" selected="0">
            <x v="19"/>
          </reference>
          <reference field="3" count="1">
            <x v="26"/>
          </reference>
        </references>
      </pivotArea>
    </format>
    <format dxfId="122">
      <pivotArea dataOnly="0" labelOnly="1" outline="0" axis="axisValues" fieldPosition="0"/>
    </format>
  </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Vol Mensual"/>
    <pivotHierarchy dragToData="1" caption="Máx. de Ruc"/>
    <pivotHierarchy dragToData="1"/>
    <pivotHierarchy dragToData="1" caption="Vol M1 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1"/>
    <rowHierarchyUsage hierarchyUsage="17"/>
    <rowHierarchyUsage hierarchyUsage="7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Data Izipay.xlsx!Data.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478384-045B-427C-A66D-FCC36BB6FB10}" name="Data." displayName="Data." ref="A1:AR144" totalsRowShown="0" headerRowDxfId="489" dataDxfId="487" headerRowBorderDxfId="488" tableBorderDxfId="486" totalsRowBorderDxfId="485">
  <autoFilter ref="A1:AR144" xr:uid="{37B60809-0E27-4529-8FB4-61072D104838}"/>
  <tableColumns count="44">
    <tableColumn id="1" xr3:uid="{7183576A-ABF8-4C2B-9C57-47A698347D0B}" name="Código LT" dataDxfId="484">
      <calculatedColumnFormula>CONCATENATE(Data.[[#This Row],[Código]],Data.[[#This Row],[Ruc]])</calculatedColumnFormula>
    </tableColumn>
    <tableColumn id="2" xr3:uid="{B7E4A724-9138-4869-8FD9-35384C95BB7C}" name="Periodo" dataDxfId="483"/>
    <tableColumn id="3" xr3:uid="{999BDBAA-7E2C-4E84-8434-999BAF5FF106}" name="Mes Izipay" dataDxfId="482">
      <calculatedColumnFormula>IFERROR(VLOOKUP(Data.[[#This Row],[Código LT]],Reportería.[],71,0),"")</calculatedColumnFormula>
    </tableColumn>
    <tableColumn id="4" xr3:uid="{9156C1EC-34E6-46EC-844A-E48740478C11}" name="Fecha de Ingreso" dataDxfId="481">
      <calculatedColumnFormula>IFERROR(VLOOKUP(Data.[[#This Row],[Código]],BV!A:C,2,0),"")</calculatedColumnFormula>
    </tableColumn>
    <tableColumn id="5" xr3:uid="{291E4FE8-84B7-40ED-8630-0C919ECA5894}" name="Fecha de Instalación" dataDxfId="480">
      <calculatedColumnFormula>IFERROR(VLOOKUP(Data.[[#This Row],[Código]],BV!A:C,3,0),"")</calculatedColumnFormula>
    </tableColumn>
    <tableColumn id="50" xr3:uid="{1965C0E8-834C-4CC1-9B1D-016CE2727782}" name="Código" dataDxfId="479"/>
    <tableColumn id="6" xr3:uid="{A58B61AE-374C-4613-9142-55A13428B162}" name="Serie" dataDxfId="478"/>
    <tableColumn id="7" xr3:uid="{2801B542-73CE-43FA-9A0C-82421DDC18E5}" name="Ruc" dataDxfId="477"/>
    <tableColumn id="8" xr3:uid="{09ACA270-CB2F-447B-A642-1BCD84AE30C2}" name="Razón Social" dataDxfId="476"/>
    <tableColumn id="9" xr3:uid="{036EEC4F-F84B-4D48-B4C5-480E37E1EA28}" name="Nombre Comercial" dataDxfId="475"/>
    <tableColumn id="10" xr3:uid="{0216C160-AA2B-45C7-9913-6C57059483A0}" name="Estado" dataDxfId="474">
      <calculatedColumnFormula>IF(Data.[[#This Row],[Tipo de Venta]]&lt;&gt;"POS","Atendido",IF(Data.[[#This Row],[Fecha de Instalación]]&lt;&gt;"","Atendido","Ingresado"))</calculatedColumnFormula>
    </tableColumn>
    <tableColumn id="11" xr3:uid="{7550A433-9EDD-466B-BFE4-E78D088649EC}" name="Estado LT" dataDxfId="473">
      <calculatedColumnFormula>Data.[[#This Row],[Estado]]</calculatedColumnFormula>
    </tableColumn>
    <tableColumn id="12" xr3:uid="{CF354B2F-BA16-48E8-B073-1F0F74A5CC0C}" name="Tipo de Venta" dataDxfId="472"/>
    <tableColumn id="13" xr3:uid="{43BD075A-A3E1-4FC0-9AD6-F19A3E405E45}" name="Producto" dataDxfId="471">
      <calculatedColumnFormula>IFERROR(VLOOKUP(Data.[[#This Row],[Código LT]],Reportería.[],20,0),"")</calculatedColumnFormula>
    </tableColumn>
    <tableColumn id="15" xr3:uid="{730489F1-0558-4E1F-8192-701A64B76100}" name="Tipo Cliente" dataDxfId="470">
      <calculatedColumnFormula>IFERROR(VLOOKUP(Data.[[#This Row],[Código LT]],Reportería.[],5,0),"")</calculatedColumnFormula>
    </tableColumn>
    <tableColumn id="16" xr3:uid="{E8514A91-F780-48CA-8ADB-ABB151F145FE}" name="GPV Mensual  " dataDxfId="469">
      <calculatedColumnFormula>Data.[[#This Row],[GPV Mensual LT]]/COUNTIFS(H:H,Data.[[#This Row],[Ruc]],B:B,Data.[[#This Row],[Periodo]])</calculatedColumnFormula>
    </tableColumn>
    <tableColumn id="17" xr3:uid="{3FFD1F81-A33C-4CF2-AC96-76A6706A2A0C}" name="GPV Mensual LT" dataDxfId="468"/>
    <tableColumn id="18" xr3:uid="{8A2D1C7B-FDD2-46FB-898A-827DEB53C1E4}" name="Ejecutivo" dataDxfId="467"/>
    <tableColumn id="19" xr3:uid="{2638558D-622B-435F-AFD9-9836DA312F4C}" name="DNI Ejecutivo" dataDxfId="466">
      <calculatedColumnFormula>VLOOKUP(Data.[[#This Row],[Ejecutivo]],Productividad!D:N,11,0)</calculatedColumnFormula>
    </tableColumn>
    <tableColumn id="20" xr3:uid="{2D74D484-CF21-473B-9BF8-75F8EAD7FD4E}" name="Correo Ejecutivo" dataDxfId="465">
      <calculatedColumnFormula>VLOOKUP(Data.[[#This Row],[DNI Ejecutivo]],Productividad!C:U,8,0)</calculatedColumnFormula>
    </tableColumn>
    <tableColumn id="21" xr3:uid="{F320F80C-D285-4B85-9E84-18CC14FBDFFB}" name="Categoría" dataDxfId="464">
      <calculatedColumnFormula>VLOOKUP(Data.[[#This Row],[DNI Ejecutivo]],Productividad!C:U,4,0)</calculatedColumnFormula>
    </tableColumn>
    <tableColumn id="22" xr3:uid="{E9609226-FD15-43A0-BF91-A49FB09DA11D}" name="Zona" dataDxfId="463">
      <calculatedColumnFormula>IFERROR(VLOOKUP(Data.[[#This Row],[DNI Ejecutivo]],Ejecutivos.[],11,0),"")</calculatedColumnFormula>
    </tableColumn>
    <tableColumn id="23" xr3:uid="{912C0525-219F-46F3-926E-B82698197221}" name="Supervisor" dataDxfId="462"/>
    <tableColumn id="24" xr3:uid="{A72BC7F4-6377-469D-A89F-01E8F4B9E7E9}" name="Jefatura" dataDxfId="461">
      <calculatedColumnFormula array="1">IFERROR(_xlfn.IFS(Data.[[#This Row],[Supervisor]]="Jonathan Lapoint","Norte",Data.[[#This Row],[Supervisor]]="Jorge Fuentes","Norte"),"Lima")</calculatedColumnFormula>
    </tableColumn>
    <tableColumn id="25" xr3:uid="{17E7FE22-2A45-4A30-8B0B-E4745FF1619C}" name="DNI Supervisor" dataDxfId="460">
      <calculatedColumnFormula>VLOOKUP(Data.[[#This Row],[Supervisor]],Ejecutivos!B:S,17,0)</calculatedColumnFormula>
    </tableColumn>
    <tableColumn id="26" xr3:uid="{D1B000B0-B050-4339-A357-68C9ABA150FA}" name="Correo Supervisor" dataDxfId="459">
      <calculatedColumnFormula>VLOOKUP(Data.[[#This Row],[DNI Supervisor]],Productividad!C:U,8,0)</calculatedColumnFormula>
    </tableColumn>
    <tableColumn id="27" xr3:uid="{63067209-C726-403F-BD7D-A09FA0AA9150}" name="DNI Referido" dataDxfId="458"/>
    <tableColumn id="29" xr3:uid="{DD1999BB-7F29-4385-9ACD-AA58822A1E5C}" name="Referido" dataDxfId="457"/>
    <tableColumn id="34" xr3:uid="{0EA8142F-95B7-4E1F-B374-082FBAF8902A}" name="Código DNI" dataDxfId="456">
      <calculatedColumnFormula>IFERROR(CONCATENATE(Data.[[#This Row],[DNI Ejecutivo]],Data.[[#This Row],[Periodo]]),"")</calculatedColumnFormula>
    </tableColumn>
    <tableColumn id="30" xr3:uid="{3C811BC1-9C86-4D59-A13E-08973543EDD5}" name="CIIU" dataDxfId="455">
      <calculatedColumnFormula>IFERROR(VLOOKUP(Data.[[#This Row],[Código LT]],Reportería.[],10,0),"")</calculatedColumnFormula>
    </tableColumn>
    <tableColumn id="37" xr3:uid="{77B4083A-52C1-4B68-8282-641568DE9344}" name="Detalle CIIU" dataDxfId="454">
      <calculatedColumnFormula>IFERROR(VLOOKUP(Data.[[#This Row],[Código LT]],Reportería.[],11,0),"")</calculatedColumnFormula>
    </tableColumn>
    <tableColumn id="38" xr3:uid="{9BD08F1E-F867-4BA6-8DBE-2EE1FFABB1A8}" name="Vol M0" dataDxfId="453"/>
    <tableColumn id="31" xr3:uid="{EF152B2E-B8BD-404D-9556-47E6B396A0E1}" name="Vol QR M0" dataDxfId="452"/>
    <tableColumn id="28" xr3:uid="{87BB7459-E143-4570-9680-7E61C7AF82C2}" name="Vol TJ M0" dataDxfId="451"/>
    <tableColumn id="42" xr3:uid="{9D3552DE-09F5-41AC-862F-2EFEDD33C3B5}" name="Vol M1" dataDxfId="450">
      <calculatedColumnFormula>IF(TEXT(Data.[[#This Row],[Periodo]],"mmm-yy")="may-26",VLOOKUP(Data.[[#This Row],[Código]],Reportería!A:BV,57,0),0)</calculatedColumnFormula>
    </tableColumn>
    <tableColumn id="32" xr3:uid="{D0CABBFB-25B0-4789-9164-BD9E3F5FFE92}" name="Vol QR M1" dataDxfId="449"/>
    <tableColumn id="33" xr3:uid="{803FEFF8-EA2D-40ED-AE01-6B8179CA5EB0}" name="Vol TJ M1" dataDxfId="448"/>
    <tableColumn id="46" xr3:uid="{A5558D5D-875D-4F50-A59A-1134944067CA}" name="Vol M2" dataDxfId="447">
      <calculatedColumnFormula>IF(Data.[[#This Row],[Vol M0]]="",0,0)</calculatedColumnFormula>
    </tableColumn>
    <tableColumn id="35" xr3:uid="{35C46539-5958-4E71-AB58-67F7E96EFAA4}" name="Vol QR M2" dataDxfId="446">
      <calculatedColumnFormula>IF(Data.[[#This Row],[Vol M0]]="",0,0)</calculatedColumnFormula>
    </tableColumn>
    <tableColumn id="36" xr3:uid="{4F5AA8C3-6999-4B92-9EF0-629C0F0D7574}" name="Vol TJ M2" dataDxfId="445">
      <calculatedColumnFormula>IF(Data.[[#This Row],[Vol M0]]="",0,0)</calculatedColumnFormula>
    </tableColumn>
    <tableColumn id="48" xr3:uid="{80ECEC88-AB65-4DDA-9B55-98B457CADD32}" name="Vol M3" dataDxfId="444">
      <calculatedColumnFormula>IF(Data.[[#This Row],[Vol M0]]="",0,0)</calculatedColumnFormula>
    </tableColumn>
    <tableColumn id="40" xr3:uid="{AFBDA5E8-A795-45AB-8D34-F16FFE4E5CA0}" name="Vol QR M3" dataDxfId="443">
      <calculatedColumnFormula>IF(Data.[[#This Row],[Vol M0]]="",0,0)</calculatedColumnFormula>
    </tableColumn>
    <tableColumn id="39" xr3:uid="{D07AA205-95D6-4ED1-9A73-F7C15EC1C5BE}" name="Vol TJ M3" dataDxfId="442">
      <calculatedColumnFormula>IF(Data.[[#This Row],[Vol M0]]="",0,0)</calculatedColumnFormula>
    </tableColumn>
    <tableColumn id="14" xr3:uid="{00384CFC-2291-49E4-91DE-B908BBFB112E}" name="Ruc Activo" dataDxfId="441">
      <calculatedColumnFormula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B35236-DE10-49DB-85AB-A1EDBD5B212B}" name="Reportería." displayName="Reportería." ref="A1:BV107" totalsRowShown="0" headerRowDxfId="436" dataDxfId="434" headerRowBorderDxfId="435" tableBorderDxfId="433" totalsRowBorderDxfId="432">
  <autoFilter ref="A1:BV107" xr:uid="{ACB79431-9E87-4D00-88D2-0C426ECCC252}"/>
  <tableColumns count="74">
    <tableColumn id="2" xr3:uid="{345BD4AA-9CB8-48D8-A0EB-37F600D705FC}" name="codigo" dataDxfId="431"/>
    <tableColumn id="3" xr3:uid="{D5602668-DA8C-4814-BEEF-A2E301976656}" name="situac" dataDxfId="430"/>
    <tableColumn id="4" xr3:uid="{4E2D1374-58F3-433E-BFDB-1BA42CD3E736}" name="nroruc" dataDxfId="429"/>
    <tableColumn id="5" xr3:uid="{D8780160-F7EE-48F2-93E9-4BE45F086AD6}" name="adicional/nuevo colocado" dataDxfId="428"/>
    <tableColumn id="6" xr3:uid="{80D96540-8C53-4A17-87D8-7BC1335E022E}" name="cta_esp" dataDxfId="427"/>
    <tableColumn id="7" xr3:uid="{68DDD802-54E0-4C23-97D6-912C7AA4C90D}" name="nomcom" dataDxfId="426"/>
    <tableColumn id="8" xr3:uid="{5D605617-948F-4975-A448-FAA5CFDB4C78}" name="razsoc" dataDxfId="425"/>
    <tableColumn id="9" xr3:uid="{EF4B6BC1-85EC-4FC9-9C95-2D7168775032}" name="moneda" dataDxfId="424"/>
    <tableColumn id="10" xr3:uid="{A65CFAD5-C2E3-434A-8278-B110EB8633AA}" name="mcc" dataDxfId="423"/>
    <tableColumn id="11" xr3:uid="{5042BD79-B90B-4EC7-A97C-3E8BF434DE22}" name="giro" dataDxfId="422"/>
    <tableColumn id="12" xr3:uid="{CBF609DB-9ABB-42D8-A204-63AF6807D400}" name="dire" dataDxfId="421"/>
    <tableColumn id="13" xr3:uid="{C4AD7EB1-0E74-4D12-973D-A5923AEAEA20}" name="dist" dataDxfId="420"/>
    <tableColumn id="14" xr3:uid="{506E737C-618E-44A0-A79E-D29C838F515B}" name="prov" dataDxfId="419"/>
    <tableColumn id="15" xr3:uid="{9700A3E8-2D9C-4F8F-993F-48AAB3D93704}" name="dpto" dataDxfId="418"/>
    <tableColumn id="16" xr3:uid="{9313B1B6-E561-4445-AFCB-C421A03813FF}" name="region" dataDxfId="417"/>
    <tableColumn id="17" xr3:uid="{2350222D-E199-4007-AF5B-879C508B1BD7}" name="lima/provincia" dataDxfId="416"/>
    <tableColumn id="18" xr3:uid="{41D1389A-06BC-4682-9AC2-D6F83B03335D}" name="zona" dataDxfId="415"/>
    <tableColumn id="19" xr3:uid="{9BF6672F-82A6-437F-9064-3814F8BEBA5E}" name="fecape" dataDxfId="414"/>
    <tableColumn id="20" xr3:uid="{9A5D9564-BE8E-49C7-A076-DAD3B407E3CE}" name="producto" dataDxfId="413"/>
    <tableColumn id="21" xr3:uid="{6752899B-7371-4AF8-A213-28C1BB0C5125}" name="tipodoc" dataDxfId="412"/>
    <tableColumn id="22" xr3:uid="{E64E30B9-DDB0-4AB2-8DFE-E9BA4423D1E7}" name="nombco" dataDxfId="411"/>
    <tableColumn id="23" xr3:uid="{21F685FD-C6C3-42A3-8D4F-CF9DC8F1856F}" name="nrocta" dataDxfId="410"/>
    <tableColumn id="24" xr3:uid="{7CB7678D-5CAA-427D-8EED-8C37BA8EF7F2}" name="telefono" dataDxfId="409"/>
    <tableColumn id="25" xr3:uid="{C2D58BA5-FD5A-4EE7-A6FD-0053708C80F8}" name="tip com" dataDxfId="408"/>
    <tableColumn id="26" xr3:uid="{F26E9388-6C4F-4B20-B345-A1A589D53D9E}" name="nro de serie" dataDxfId="407"/>
    <tableColumn id="27" xr3:uid="{1C09314E-2C26-46A2-B97E-4D62BD35772F}" name="ruc20/ruc10/dni" dataDxfId="406"/>
    <tableColumn id="28" xr3:uid="{66756102-3FD9-49F4-90F0-BBABEABF24EB}" name="código dealer" dataDxfId="405"/>
    <tableColumn id="29" xr3:uid="{40B808F4-676D-4D7E-BB7C-7CD7B1D31CFE}" name="Dealer" dataDxfId="404"/>
    <tableColumn id="30" xr3:uid="{DC7884FF-1300-4DFA-947B-38191AB0C5E7}" name="código ejecutivo" dataDxfId="403"/>
    <tableColumn id="31" xr3:uid="{E510B65E-FD45-4AD5-A9DB-EC0366806F8A}" name="dealer_eje_homologado" dataDxfId="402"/>
    <tableColumn id="32" xr3:uid="{DD6C7F9A-9ABA-4055-AA08-65D81BB40290}" name="bloqueado" dataDxfId="401"/>
    <tableColumn id="33" xr3:uid="{905432A2-C00C-4D6E-94D7-7E0B3E743446}" name="oficina satelital" dataDxfId="400"/>
    <tableColumn id="34" xr3:uid="{802FDBBB-24BF-41E4-B528-FA696F207CD3}" name="respcta" dataDxfId="399"/>
    <tableColumn id="35" xr3:uid="{13B71D2E-0D57-40A6-AD88-A95205200DF2}" name="respcta_nomb" dataDxfId="398"/>
    <tableColumn id="36" xr3:uid="{412549DC-C7C8-4C9E-9ACE-AE203E999F24}" name="nivel_1" dataDxfId="397"/>
    <tableColumn id="37" xr3:uid="{AAB206BD-EB6E-4FC0-97C4-0295EDB256CD}" name="nivel_2" dataDxfId="396"/>
    <tableColumn id="38" xr3:uid="{3E7830C0-CEA4-4135-8A9E-DD416E182961}" name="nivel_2_resp" dataDxfId="395"/>
    <tableColumn id="39" xr3:uid="{B2B9C6BC-3591-4F97-9537-C8AAEC4697AC}" name="nivel_3" dataDxfId="394"/>
    <tableColumn id="40" xr3:uid="{212C13D4-4AA8-4827-B96E-5C891AB482B7}" name="nivel_3_resp" dataDxfId="393"/>
    <tableColumn id="41" xr3:uid="{FD6E39CC-DD81-4620-83CA-1CDE5639D58B}" name="nivel_4" dataDxfId="392"/>
    <tableColumn id="42" xr3:uid="{531952FE-E8D7-4BEF-A06F-E70FBFE2C97F}" name="nivel_5" dataDxfId="391"/>
    <tableColumn id="43" xr3:uid="{32963A0F-E6A3-4EAD-B4A2-7B6A4BBCB416}" name="kam_nivel_2" dataDxfId="390"/>
    <tableColumn id="44" xr3:uid="{91CC493F-64E3-4C14-B69B-A9D6C8164A36}" name="kam" dataDxfId="389"/>
    <tableColumn id="45" xr3:uid="{AA43167D-5F55-4E9B-8061-1E43F0676C0B}" name="canal" dataDxfId="388"/>
    <tableColumn id="46" xr3:uid="{2B7B6120-F4E2-458F-8DC4-94C0DA9DE176}" name="subcanal" dataDxfId="387"/>
    <tableColumn id="47" xr3:uid="{2093B74D-92E5-482A-89DB-48A3C39BE345}" name="vol prom 3m anteriores x cta" dataDxfId="386"/>
    <tableColumn id="48" xr3:uid="{2A1BBDBB-6DB0-478C-9614-7022DFF7540D}" name="vol liquidable prom 3m anteriores x cta" dataDxfId="385"/>
    <tableColumn id="49" xr3:uid="{2B862E79-9149-4762-B639-4F336B49A612}" name="datos_codigo_antiguo" dataDxfId="384"/>
    <tableColumn id="50" xr3:uid="{C7129AA1-E1BC-4661-8B02-799BF7C4FD9D}" name="datos_codigo_nuevo" dataDxfId="383"/>
    <tableColumn id="51" xr3:uid="{CDB9430C-EBF1-41B1-B8E6-EDB6C4D4FA23}" name="usuario_wunderman" dataDxfId="382"/>
    <tableColumn id="52" xr3:uid="{9CCDAD6C-4287-4F9C-83F7-FA63BFB38131}" name="tipo_cde" dataDxfId="381"/>
    <tableColumn id="53" xr3:uid="{A84E0650-68EE-4C9E-B243-CA429697AB8E}" name="x" dataDxfId="380"/>
    <tableColumn id="54" xr3:uid="{B217D006-5903-413C-ADE5-55A2482C5D7A}" name="vol total ruc" dataDxfId="379"/>
    <tableColumn id="55" xr3:uid="{2965BAF4-A9E2-4758-BE40-780D4A9A8BC2}" name="vol liquidable total ruc" dataDxfId="378"/>
    <tableColumn id="56" xr3:uid="{0A10870B-D282-4F2A-A805-62E3ED5D11CC}" name="vol cosecha nueva" dataDxfId="377"/>
    <tableColumn id="57" xr3:uid="{C2EC55D3-52FF-405F-B503-F25C0FA52B06}" name="vol liquidable cosecha nueva" dataDxfId="376"/>
    <tableColumn id="58" xr3:uid="{42B67E6D-36B3-47AB-A93A-4484B915259D}" name="incremental x codigo_total" dataDxfId="375"/>
    <tableColumn id="59" xr3:uid="{49C3CC40-EDC1-49ED-8994-2A06603436EA}" name="incremental x codigo_qr" dataDxfId="374"/>
    <tableColumn id="60" xr3:uid="{67E5F1A8-D0C3-4ACD-85F8-0AE8348C3A77}" name="incremental x codigo_tarjeta" dataDxfId="373"/>
    <tableColumn id="61" xr3:uid="{1EE23156-0FB1-4C43-9BC4-1763D2C0B62E}" name="dif incremental liquidable final x ruc" dataDxfId="372"/>
    <tableColumn id="62" xr3:uid="{05D0FD6D-EEB2-412C-BBE5-FF7C120288AC}" name="factor x codigo" dataDxfId="371"/>
    <tableColumn id="63" xr3:uid="{0150E5BD-7C2F-4330-9071-3583AD87B143}" name="factor liquidable x codigo" dataDxfId="370"/>
    <tableColumn id="64" xr3:uid="{CF696711-F3EF-4147-A05D-298B5644521E}" name="incremental liquidable x codigo" dataDxfId="369"/>
    <tableColumn id="65" xr3:uid="{95E301FB-6430-41BF-8B9C-F937EA2DFFE2}" name="trx al 17.06.2026_liquidable" dataDxfId="368"/>
    <tableColumn id="66" xr3:uid="{67088436-EBB1-41CE-940E-29A1C5E736FB}" name="trx al 17.06.2026" dataDxfId="367"/>
    <tableColumn id="67" xr3:uid="{BB8AFE7D-DC92-47F1-8DDA-4803B5FD9698}" name="segmento" dataDxfId="366"/>
    <tableColumn id="68" xr3:uid="{F65D43DE-CB0D-4D85-AD77-9237D799A59C}" name="banca_ibk" dataDxfId="365"/>
    <tableColumn id="69" xr3:uid="{48C7C59C-CA95-44C6-8C46-7834EEB5F883}" name="subbanca_ibk" dataDxfId="364"/>
    <tableColumn id="70" xr3:uid="{2BEFA87D-C66E-4C20-8859-CC6BB7F74577}" name="trx al 31.05.2026" dataDxfId="363"/>
    <tableColumn id="71" xr3:uid="{8F0E2450-886D-4272-BEB0-847AB6DD4496}" name="periodo_x" dataDxfId="362"/>
    <tableColumn id="72" xr3:uid="{468C8424-3033-4F28-B800-B305D60FEB52}" name="periodo_y" dataDxfId="361"/>
    <tableColumn id="73" xr3:uid="{5147BE77-4506-4907-A7DE-E4F7AD6A69EB}" name="Total Liquidable QR" dataDxfId="360"/>
    <tableColumn id="74" xr3:uid="{F99C6A3F-7593-436B-917D-988F5C9E85EC}" name="Liquidable QR" dataDxfId="359"/>
    <tableColumn id="75" xr3:uid="{0901D3DE-D8DD-47C7-B198-3888C6943691}" name="Liquidable no QR" dataDxfId="358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450DB1-517F-4212-B411-5C7253472F5B}" name="Productividad." displayName="Productividad." ref="A1:U76" totalsRowShown="0" headerRowDxfId="349" dataDxfId="348" tableBorderDxfId="347">
  <autoFilter ref="A1:U76" xr:uid="{92398003-B372-4200-9020-F748AA87DF49}"/>
  <tableColumns count="21">
    <tableColumn id="19" xr3:uid="{9BFD7FB0-9806-4105-9DC9-BC70A44DA455}" name="Código DNI" dataDxfId="346">
      <calculatedColumnFormula>CONCATENATE(Productividad.[[#This Row],[DNI]],Productividad.[[#This Row],[Periodo]])</calculatedColumnFormula>
    </tableColumn>
    <tableColumn id="17" xr3:uid="{10CA2E51-B8DF-4126-AD56-440F4F22BAF1}" name="Periodo" dataDxfId="345"/>
    <tableColumn id="1" xr3:uid="{5F2A2D24-2A7B-479E-86BC-5D8FDEA3232F}" name="DNI" dataDxfId="344"/>
    <tableColumn id="2" xr3:uid="{F717BB12-14E2-4738-BFD9-7B6E26731A92}" name="Ejecutivo" dataDxfId="343"/>
    <tableColumn id="3" xr3:uid="{A46A09F8-5D6A-44FE-AD91-0F2F81B6D021}" name="Supervisor" dataDxfId="342"/>
    <tableColumn id="4" xr3:uid="{48008097-CB72-4D06-9F86-10FAD571FD5B}" name="Categoria" dataDxfId="341"/>
    <tableColumn id="21" xr3:uid="{A5653E49-1B5A-4AD3-9E33-A6AD11132EAE}" name="Nombre Completo" dataDxfId="340"/>
    <tableColumn id="11" xr3:uid="{C28C5268-6EA4-48BA-8743-5B392DC36F90}" name="Categoría Izi" dataDxfId="339"/>
    <tableColumn id="5" xr3:uid="{3A2D7FF3-F6B2-4F6C-B1F5-8564E38D6B41}" name="Fecha Ingreso" dataDxfId="338"/>
    <tableColumn id="6" xr3:uid="{4168CD7F-04D2-4611-9A51-61C9716B6121}" name="Correo Electronico" dataDxfId="337"/>
    <tableColumn id="7" xr3:uid="{83B10E31-82CA-4419-90E8-1A38EBC2CEC8}" name="Celular" dataDxfId="336"/>
    <tableColumn id="9" xr3:uid="{67196EB3-616A-410C-BCF0-5658A0D1883F}" name="Región" dataDxfId="335"/>
    <tableColumn id="20" xr3:uid="{7A4A783E-B96C-4C18-A365-18B6016F9028}" name="Ejecutivo C" dataDxfId="334">
      <calculatedColumnFormula>Productividad.[[#This Row],[Ejecutivo]]</calculatedColumnFormula>
    </tableColumn>
    <tableColumn id="22" xr3:uid="{CD1B39A9-1140-4ECC-9CC6-60915D14DCC7}" name="DNI C" dataDxfId="333">
      <calculatedColumnFormula>Productividad.[[#This Row],[DNI]]</calculatedColumnFormula>
    </tableColumn>
    <tableColumn id="23" xr3:uid="{3B77CE8A-3D98-409B-922E-43C77EFEA5FB}" name="Jefatura" dataDxfId="332">
      <calculatedColumnFormula array="1">IFERROR(_xlfn.IFS(Productividad.[[#This Row],[Supervisor]]="Jonathan Lapoint","Norte",Productividad.[[#This Row],[Supervisor]]="Jorge Fuentes","Norte"),"Lima")</calculatedColumnFormula>
    </tableColumn>
    <tableColumn id="14" xr3:uid="{2ABC2581-7D33-4279-82FF-E9B111E156F3}" name="Estado" dataDxfId="331">
      <calculatedColumnFormula>IFERROR(VLOOKUP(Productividad.[[#This Row],[DNI]],Ejecutivos.[],12,0),"Cesado")</calculatedColumnFormula>
    </tableColumn>
    <tableColumn id="12" xr3:uid="{3EB8DBB3-DB54-4ABD-8A1F-596BE299521B}" name="CompraYa" dataDxfId="330">
      <calculatedColumnFormula>IFERROR(VLOOKUP(Productividad.[[#This Row],[DNI]],Ejecutivos.[],13,0),"Cesado")</calculatedColumnFormula>
    </tableColumn>
    <tableColumn id="8" xr3:uid="{28F908A9-0D02-4339-9946-D55577EFA7F4}" name="Salesforce" dataDxfId="329">
      <calculatedColumnFormula>IFERROR(VLOOKUP(Productividad.[[#This Row],[DNI]],Ejecutivos.[],14,0),"Cesado")</calculatedColumnFormula>
    </tableColumn>
    <tableColumn id="13" xr3:uid="{1430CE95-9AA4-4611-8A2E-532F16E09C77}" name="P2 Mini" dataDxfId="328">
      <calculatedColumnFormula>IFERROR(VLOOKUP(Productividad.[[#This Row],[DNI]],Ejecutivos.[],15,0),"Cesado")</calculatedColumnFormula>
    </tableColumn>
    <tableColumn id="15" xr3:uid="{CD0DB591-018A-425D-8726-2FF7FD505FAE}" name="Cuota Q" dataDxfId="327"/>
    <tableColumn id="16" xr3:uid="{2135A11D-DB13-4731-9396-195051445877}" name="Cuota GPV" dataDxfId="326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E968BD-D4E1-4068-BBFC-06473225DE5A}" name="HeadCount." displayName="HeadCount." ref="A1:H42" totalsRowShown="0" headerRowDxfId="315" dataDxfId="314" tableBorderDxfId="313">
  <autoFilter ref="A1:H42" xr:uid="{92398003-B372-4200-9020-F748AA87DF49}"/>
  <tableColumns count="8">
    <tableColumn id="1" xr3:uid="{3EABE061-8188-47F4-8405-317A97B64CB7}" name="DNI" dataDxfId="312"/>
    <tableColumn id="4" xr3:uid="{C9DBDD80-7B5F-43FA-A3C5-AF71BB1850D9}" name="Categoria" dataDxfId="311"/>
    <tableColumn id="21" xr3:uid="{C8481FB8-27FD-4FDC-846B-7D700641A4D9}" name="Nombre Completo" dataDxfId="310"/>
    <tableColumn id="5" xr3:uid="{259189CC-19FE-4889-A6C9-33CA4123E05D}" name="Fecha Ingreso" dataDxfId="309"/>
    <tableColumn id="6" xr3:uid="{4C3E1081-115F-4701-BD35-B90438A8010E}" name="Correo Electronico" dataDxfId="308"/>
    <tableColumn id="7" xr3:uid="{DDC3DFCD-AF15-4B09-9077-1AFE4EE416BD}" name="Celular" dataDxfId="307"/>
    <tableColumn id="9" xr3:uid="{22A1E6BB-1252-4DC1-B5C1-FB9129B2A263}" name="Región" dataDxfId="306"/>
    <tableColumn id="2" xr3:uid="{FADD8679-D16B-4C96-93E0-26E69CB9E4EC}" name="Mesa" dataDxfId="305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C84DB5-56D0-45F4-9D27-CA1B540DC03E}" name="Ejecutivos." displayName="Ejecutivos." ref="A1:S45" totalsRowShown="0" headerRowDxfId="300" dataDxfId="299" tableBorderDxfId="298">
  <autoFilter ref="A1:S45" xr:uid="{92398003-B372-4200-9020-F748AA87DF49}"/>
  <tableColumns count="19">
    <tableColumn id="1" xr3:uid="{7CBDD5B8-8334-4327-B322-7227DE04B580}" name="DNI" dataDxfId="297"/>
    <tableColumn id="2" xr3:uid="{A9C73C22-3EDA-4B6A-BB2D-A2B6C4EFDD20}" name="Ejecutivo" dataDxfId="296"/>
    <tableColumn id="3" xr3:uid="{104C0468-06E2-47B6-9F82-AAE9915E5C22}" name="Supervisor" dataDxfId="295"/>
    <tableColumn id="4" xr3:uid="{1C3F6C1E-1A59-4843-AF1A-F070F926432C}" name="Categoria" dataDxfId="294"/>
    <tableColumn id="21" xr3:uid="{9BD5061E-E3E9-421E-AF6E-F2C801B1D0C7}" name="Nombre Completo" dataDxfId="293"/>
    <tableColumn id="11" xr3:uid="{D78DD57E-6090-426D-A183-138B3330FCB6}" name="Categoría Izi" dataDxfId="292"/>
    <tableColumn id="5" xr3:uid="{B12663CF-5F96-460B-8CB0-11076EF67276}" name="Fecha Ingreso" dataDxfId="291"/>
    <tableColumn id="6" xr3:uid="{05505934-0A3B-484C-8E0B-D0636E2E9B7C}" name="Correo Electronico" dataDxfId="290"/>
    <tableColumn id="7" xr3:uid="{8CEDAB32-1D56-44BA-8DCF-33006DB224F2}" name="Celular" dataDxfId="289"/>
    <tableColumn id="9" xr3:uid="{315DA54D-3EF9-4CF3-8FCA-F45F8E2353A8}" name="Región" dataDxfId="288"/>
    <tableColumn id="8" xr3:uid="{E09F4AB9-1C8E-4C6C-A4DA-2FDD1F230984}" name="Zona" dataDxfId="287"/>
    <tableColumn id="14" xr3:uid="{1CDD10CD-C88E-42D8-8FAC-532911F3C276}" name="Estado" dataDxfId="286"/>
    <tableColumn id="12" xr3:uid="{C19870C7-3546-409F-8C9E-D63F5EDF05FB}" name="CompraYa" dataDxfId="285"/>
    <tableColumn id="17" xr3:uid="{59752199-014B-4D74-B7E9-28E9455E5CEA}" name="Salesforce" dataDxfId="284"/>
    <tableColumn id="13" xr3:uid="{BEBB854D-888F-442E-B3C2-CF7DF18170AD}" name="P2 Mini" dataDxfId="283"/>
    <tableColumn id="15" xr3:uid="{3D16AAD9-0DA0-4B59-A38E-CCEF5DFAF856}" name="Cuota Q" dataDxfId="282">
      <calculatedColumnFormula>IFERROR(IF(Ejecutivos.[[#This Row],[Categoria]]="Supervisor",VLOOKUP(Ejecutivos.[[#This Row],[Ejecutivo]],Fórmulas!$C$59:$E$63,2,0),VLOOKUP(Ejecutivos.[[#This Row],[Categoria]],Fórmulas!$C$52:$F$54,2,0)),0)</calculatedColumnFormula>
    </tableColumn>
    <tableColumn id="16" xr3:uid="{62EC3952-BB7E-47C8-B9F3-7E56CAADD689}" name="Cuota GPV" dataDxfId="281">
      <calculatedColumnFormula>IFERROR(IF(Ejecutivos.[[#This Row],[Categoria]]="Supervisor",VLOOKUP(Ejecutivos.[[#This Row],[Ejecutivo]],Fórmulas!$C$59:$E$63,3,0),VLOOKUP(Ejecutivos.[[#This Row],[Categoria]],Fórmulas!$C$52:$F$54,3,0)),0)</calculatedColumnFormula>
    </tableColumn>
    <tableColumn id="18" xr3:uid="{878060B9-773B-48BB-B0C6-3385E2E1F30E}" name="DNI " dataDxfId="280">
      <calculatedColumnFormula>Ejecutivos.[[#This Row],[DNI]]</calculatedColumnFormula>
    </tableColumn>
    <tableColumn id="10" xr3:uid="{9ABEF38D-56D3-48F9-8F8A-A40B72B99CAB}" name="Ejecutivo " dataDxfId="279">
      <calculatedColumnFormula>Ejecutivos.[[#This Row],[Ejecutivo]]</calculatedColumnFormula>
    </tableColumn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CDA897-11FC-4AAA-916E-58845C20DBE2}" name="AvanceSupervisor" displayName="AvanceSupervisor" ref="A17:J27" totalsRowShown="0" headerRowDxfId="222" dataDxfId="220" headerRowBorderDxfId="221" tableBorderDxfId="219" totalsRowBorderDxfId="218">
  <tableColumns count="10">
    <tableColumn id="1" xr3:uid="{2A7EE11B-C0AD-408D-A35B-71278A458CA8}" name="Día" dataDxfId="217"/>
    <tableColumn id="2" xr3:uid="{98616A51-A816-479D-972C-906CE8128B58}" name="Supervisor" dataDxfId="216"/>
    <tableColumn id="3" xr3:uid="{DED666D5-8807-4900-8886-B0012BE8CB4F}" name="Q Ruc" dataDxfId="215">
      <calculatedColumnFormula>IFERROR(VLOOKUP(AvanceSupervisor[[#This Row],[Supervisor]],$B$7:$I$11,2,0),0)</calculatedColumnFormula>
    </tableColumn>
    <tableColumn id="4" xr3:uid="{F2D3A29D-28C7-45D0-AAC2-69F345D0210F}" name="Q Pos" dataDxfId="214">
      <calculatedColumnFormula>IFERROR(VLOOKUP(AvanceSupervisor[[#This Row],[Supervisor]],$B$7:$I$11,3,0),0)</calculatedColumnFormula>
    </tableColumn>
    <tableColumn id="5" xr3:uid="{C8A06041-38D6-4B30-95BB-4190003FC3F6}" name="Ruc Act" dataDxfId="213">
      <calculatedColumnFormula>IFERROR(VLOOKUP(AvanceSupervisor[[#This Row],[Supervisor]],$B$7:$I$11,4,0),0)</calculatedColumnFormula>
    </tableColumn>
    <tableColumn id="6" xr3:uid="{1AA92A0C-C863-4AAF-B857-53255B52F039}" name="Vol M0" dataDxfId="212">
      <calculatedColumnFormula>IFERROR(VLOOKUP(AvanceSupervisor[[#This Row],[Supervisor]],$B$7:$I$11,5,0),0)</calculatedColumnFormula>
    </tableColumn>
    <tableColumn id="7" xr3:uid="{D475D694-FEE3-4F35-964D-2556903C4B31}" name="Vol M1" dataDxfId="211">
      <calculatedColumnFormula>IFERROR(VLOOKUP(AvanceSupervisor[[#This Row],[Supervisor]],$B$2:$I$6,6,0),0)</calculatedColumnFormula>
    </tableColumn>
    <tableColumn id="8" xr3:uid="{FE93023B-C661-4478-A5E2-E8BA09341C1D}" name="Vol M2" dataDxfId="210">
      <calculatedColumnFormula>IFERROR(VLOOKUP(AvanceSupervisor[[#This Row],[Supervisor]],$B$2:$I$6,7,0),0)</calculatedColumnFormula>
    </tableColumn>
    <tableColumn id="9" xr3:uid="{961B3201-11E0-4575-8023-EE88BF9D1FE3}" name="Vol M3" dataDxfId="209">
      <calculatedColumnFormula>IFERROR(VLOOKUP(AvanceSupervisor[[#This Row],[Supervisor]],$B$2:$I$6,8,0),0)</calculatedColumnFormula>
    </tableColumn>
    <tableColumn id="10" xr3:uid="{7F38BA94-C5DD-44FC-A473-7BFBFC9F6709}" name="Periodo" dataDxfId="208">
      <calculatedColumnFormula>$A$7</calculatedColumnFormula>
    </tableColumn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ADA02A2-9DC1-43E7-AAE7-D6199189D9EF}" name="AvanceEjecutivos" displayName="AvanceEjecutivos" ref="O42:X90" totalsRowShown="0" headerRowDxfId="207" dataDxfId="205" headerRowBorderDxfId="206" tableBorderDxfId="204" totalsRowBorderDxfId="203">
  <tableColumns count="10">
    <tableColumn id="1" xr3:uid="{26AEF813-7E7B-4CCA-B206-0BBE4614E64F}" name="Día" dataDxfId="202"/>
    <tableColumn id="2" xr3:uid="{9FD0DA2A-A730-46DF-9CF6-6A4F128FE70D}" name="Ejecutivos" dataDxfId="201"/>
    <tableColumn id="3" xr3:uid="{EB6660F2-4AA4-47B9-92DB-8A048FD171C9}" name="Q Ruc" dataDxfId="200">
      <calculatedColumnFormula>IFERROR(VLOOKUP(AvanceEjecutivos[[#This Row],[Ejecutivos]],$P$22:$W$42,2,0),0)</calculatedColumnFormula>
    </tableColumn>
    <tableColumn id="4" xr3:uid="{49B98EAE-50CE-4C8C-9508-5400849EAF2B}" name="Q Pos" dataDxfId="199">
      <calculatedColumnFormula>IFERROR(VLOOKUP(AvanceEjecutivos[[#This Row],[Ejecutivos]],$P$22:$W$42,3,0),0)</calculatedColumnFormula>
    </tableColumn>
    <tableColumn id="5" xr3:uid="{F8D48CEC-32DA-43B7-B71A-220BFB34176A}" name="Q Act" dataDxfId="198">
      <calculatedColumnFormula>IFERROR(VLOOKUP(AvanceEjecutivos[[#This Row],[Ejecutivos]],$P$22:$W$42,4,0),0)</calculatedColumnFormula>
    </tableColumn>
    <tableColumn id="6" xr3:uid="{21C91DD8-2B0D-4617-8736-7CAC915D9893}" name="Vol M0" dataDxfId="197">
      <calculatedColumnFormula>IFERROR(VLOOKUP(AvanceEjecutivos[[#This Row],[Ejecutivos]],$P$22:$W$42,5,0),0)</calculatedColumnFormula>
    </tableColumn>
    <tableColumn id="7" xr3:uid="{103BDED3-7E43-4273-ABFF-FA8DE0C9E145}" name="Vol M1" dataDxfId="196">
      <calculatedColumnFormula>IFERROR(VLOOKUP(AvanceEjecutivos[[#This Row],[Ejecutivos]],$P$2:$W$21,6,0),0)</calculatedColumnFormula>
    </tableColumn>
    <tableColumn id="9" xr3:uid="{019EE6FD-E6ED-41FE-AEE3-78D99CA60410}" name="Vol M2" dataDxfId="195">
      <calculatedColumnFormula>IFERROR(VLOOKUP(AvanceEjecutivos[[#This Row],[Ejecutivos]],$P$2:$W$21,7,0),0)</calculatedColumnFormula>
    </tableColumn>
    <tableColumn id="10" xr3:uid="{9759FBB6-68CE-494D-9456-3D560DEB64EC}" name="Vol M3" dataDxfId="194">
      <calculatedColumnFormula>IFERROR(VLOOKUP(AvanceEjecutivos[[#This Row],[Ejecutivos]],$P$2:$W$21,8,0),0)</calculatedColumnFormula>
    </tableColumn>
    <tableColumn id="11" xr3:uid="{BEDB4861-2393-4F5B-BE0E-397FE76D22A9}" name="Periodo" dataDxfId="193">
      <calculatedColumnFormula>$O$22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maria.lozano@lozapay.com.pe" TargetMode="External"/><Relationship Id="rId2" Type="http://schemas.openxmlformats.org/officeDocument/2006/relationships/hyperlink" Target="mailto:luis.hurtado@lozapay.com.pe" TargetMode="External"/><Relationship Id="rId1" Type="http://schemas.openxmlformats.org/officeDocument/2006/relationships/hyperlink" Target="mailto:gloria.pallardelly@lozapay.com.pe" TargetMode="External"/><Relationship Id="rId6" Type="http://schemas.openxmlformats.org/officeDocument/2006/relationships/table" Target="../tables/table4.xm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mailto:roberto.ayllon@lozapay.com.pe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3E56-EE92-400D-A8CD-8C5CD7E22B40}">
  <sheetPr codeName="Hoja1"/>
  <dimension ref="A1:AR144"/>
  <sheetViews>
    <sheetView showGridLines="0" tabSelected="1" zoomScale="85" zoomScaleNormal="85" workbookViewId="0">
      <pane ySplit="1" topLeftCell="A12" activePane="bottomLeft" state="frozen"/>
      <selection activeCell="M1" sqref="M1"/>
      <selection pane="bottomLeft" activeCell="F31" sqref="F31"/>
    </sheetView>
  </sheetViews>
  <sheetFormatPr baseColWidth="10" defaultRowHeight="14.25" customHeight="1" outlineLevelCol="1"/>
  <cols>
    <col min="1" max="1" width="17.7109375" style="7" customWidth="1"/>
    <col min="2" max="6" width="12.7109375" style="7" customWidth="1"/>
    <col min="7" max="7" width="13.7109375" style="7" hidden="1" customWidth="1"/>
    <col min="8" max="8" width="13.7109375" style="7" customWidth="1"/>
    <col min="9" max="10" width="45.7109375" style="7" customWidth="1"/>
    <col min="11" max="11" width="12.7109375" style="7" customWidth="1"/>
    <col min="12" max="12" width="12.7109375" style="7" hidden="1" customWidth="1"/>
    <col min="13" max="13" width="13.7109375" style="7" customWidth="1"/>
    <col min="14" max="15" width="13.7109375" style="7" hidden="1" customWidth="1" outlineLevel="1"/>
    <col min="16" max="16" width="15.85546875" style="7" hidden="1" customWidth="1" outlineLevel="1"/>
    <col min="17" max="17" width="15.85546875" style="7" customWidth="1" collapsed="1"/>
    <col min="18" max="18" width="18.5703125" style="7" customWidth="1"/>
    <col min="19" max="21" width="15.85546875" style="7" hidden="1" customWidth="1" outlineLevel="1"/>
    <col min="22" max="22" width="15.7109375" style="7" customWidth="1" collapsed="1"/>
    <col min="23" max="23" width="15.7109375" style="7" customWidth="1"/>
    <col min="24" max="24" width="15.85546875" style="7" customWidth="1"/>
    <col min="25" max="27" width="15.85546875" style="7" hidden="1" customWidth="1" outlineLevel="1"/>
    <col min="28" max="28" width="40.7109375" style="7" customWidth="1" collapsed="1"/>
    <col min="29" max="30" width="15.85546875" style="7" hidden="1" customWidth="1" outlineLevel="1"/>
    <col min="31" max="31" width="40.7109375" style="7" hidden="1" customWidth="1" outlineLevel="1"/>
    <col min="32" max="32" width="15.7109375" style="7" customWidth="1" collapsed="1"/>
    <col min="33" max="34" width="15.7109375" style="7" customWidth="1" outlineLevel="1"/>
    <col min="35" max="35" width="15.7109375" style="7" customWidth="1"/>
    <col min="36" max="37" width="15.7109375" style="7" customWidth="1" outlineLevel="1"/>
    <col min="38" max="38" width="15.7109375" style="7" customWidth="1"/>
    <col min="39" max="40" width="15.7109375" style="7" hidden="1" customWidth="1" outlineLevel="1"/>
    <col min="41" max="41" width="15.7109375" style="7" customWidth="1" collapsed="1"/>
    <col min="42" max="43" width="15.7109375" style="7" hidden="1" customWidth="1" outlineLevel="1"/>
    <col min="44" max="44" width="15.85546875" style="7" customWidth="1" collapsed="1"/>
    <col min="45" max="16384" width="11.42578125" style="7"/>
  </cols>
  <sheetData>
    <row r="1" spans="1:44" ht="30" customHeight="1">
      <c r="A1" s="1" t="s">
        <v>971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0</v>
      </c>
      <c r="G1" s="2" t="s">
        <v>5</v>
      </c>
      <c r="H1" s="2" t="s">
        <v>6</v>
      </c>
      <c r="I1" s="2" t="s">
        <v>7</v>
      </c>
      <c r="J1" s="2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28</v>
      </c>
      <c r="AD1" s="5" t="s">
        <v>27</v>
      </c>
      <c r="AE1" s="5" t="s">
        <v>30</v>
      </c>
      <c r="AF1" s="6" t="s">
        <v>724</v>
      </c>
      <c r="AG1" s="6" t="s">
        <v>961</v>
      </c>
      <c r="AH1" s="6" t="s">
        <v>962</v>
      </c>
      <c r="AI1" s="6" t="s">
        <v>723</v>
      </c>
      <c r="AJ1" s="6" t="s">
        <v>963</v>
      </c>
      <c r="AK1" s="6" t="s">
        <v>964</v>
      </c>
      <c r="AL1" s="6" t="s">
        <v>965</v>
      </c>
      <c r="AM1" s="6" t="s">
        <v>966</v>
      </c>
      <c r="AN1" s="6" t="s">
        <v>967</v>
      </c>
      <c r="AO1" s="6" t="s">
        <v>968</v>
      </c>
      <c r="AP1" s="6" t="s">
        <v>969</v>
      </c>
      <c r="AQ1" s="6" t="s">
        <v>970</v>
      </c>
      <c r="AR1" s="104" t="s">
        <v>569</v>
      </c>
    </row>
    <row r="2" spans="1:44" ht="14.25" customHeight="1">
      <c r="A2" s="8" t="str">
        <f>CONCATENATE(Data.[[#This Row],[Código]],Data.[[#This Row],[Ruc]])</f>
        <v>105841310424714441</v>
      </c>
      <c r="B2" s="9">
        <v>46143</v>
      </c>
      <c r="C2" s="8" t="str">
        <f>IFERROR(VLOOKUP(Data.[[#This Row],[Código LT]],Reportería.[],71,0),"")</f>
        <v/>
      </c>
      <c r="D2" s="10">
        <f>IFERROR(VLOOKUP(Data.[[#This Row],[Código]],BV!A:C,2,0),"")</f>
        <v>46153</v>
      </c>
      <c r="E2" s="10">
        <f>IFERROR(VLOOKUP(Data.[[#This Row],[Código]],BV!A:C,3,0),"")</f>
        <v>46160</v>
      </c>
      <c r="F2" s="8">
        <v>1058413</v>
      </c>
      <c r="G2" s="8" t="s">
        <v>37</v>
      </c>
      <c r="H2" s="8">
        <v>10424714441</v>
      </c>
      <c r="I2" s="8" t="s">
        <v>31</v>
      </c>
      <c r="J2" s="8" t="s">
        <v>32</v>
      </c>
      <c r="K2" s="8" t="str">
        <f>IF(Data.[[#This Row],[Tipo de Venta]]&lt;&gt;"POS","Atendido",IF(Data.[[#This Row],[Fecha de Instalación]]&lt;&gt;"","Atendido","Ingresado"))</f>
        <v>Atendido</v>
      </c>
      <c r="L2" s="8" t="str">
        <f>Data.[[#This Row],[Estado]]</f>
        <v>Atendido</v>
      </c>
      <c r="M2" s="8" t="s">
        <v>33</v>
      </c>
      <c r="N2" s="8" t="str">
        <f>IFERROR(VLOOKUP(Data.[[#This Row],[Código LT]],Reportería.[],20,0),"")</f>
        <v/>
      </c>
      <c r="O2" s="8" t="str">
        <f>IFERROR(VLOOKUP(Data.[[#This Row],[Código LT]],Reportería.[],5,0),"")</f>
        <v/>
      </c>
      <c r="P2" s="11">
        <f>Data.[[#This Row],[GPV Mensual LT]]/COUNTIFS(H:H,Data.[[#This Row],[Ruc]],B:B,Data.[[#This Row],[Periodo]])</f>
        <v>60000</v>
      </c>
      <c r="Q2" s="11">
        <v>60000</v>
      </c>
      <c r="R2" s="8" t="s">
        <v>34</v>
      </c>
      <c r="S2" s="8" t="str">
        <f>VLOOKUP(Data.[[#This Row],[Ejecutivo]],Productividad!D:N,11,0)</f>
        <v>43661391</v>
      </c>
      <c r="T2" s="50" t="str">
        <f>VLOOKUP(Data.[[#This Row],[DNI Ejecutivo]],Productividad!C:U,8,0)</f>
        <v>mrochar@lozapay.com.pe</v>
      </c>
      <c r="U2" s="8" t="str">
        <f>VLOOKUP(Data.[[#This Row],[DNI Ejecutivo]],Productividad!C:U,4,0)</f>
        <v>Elite</v>
      </c>
      <c r="V2" s="8" t="str">
        <f>IFERROR(VLOOKUP(Data.[[#This Row],[DNI Ejecutivo]],Ejecutivos.[],11,0),"")</f>
        <v>Lima Palomino</v>
      </c>
      <c r="W2" s="8" t="s">
        <v>35</v>
      </c>
      <c r="X2" s="8" t="str" cm="1">
        <f t="array" ref="X2">IFERROR(_xlfn.IFS(Data.[[#This Row],[Supervisor]]="Jonathan Lapoint","Norte",Data.[[#This Row],[Supervisor]]="Jorge Fuentes","Norte"),"Lima")</f>
        <v>Lima</v>
      </c>
      <c r="Y2" s="8" t="str">
        <f>VLOOKUP(Data.[[#This Row],[Supervisor]],Ejecutivos!B:S,17,0)</f>
        <v>41718975</v>
      </c>
      <c r="Z2" s="50" t="str">
        <f>VLOOKUP(Data.[[#This Row],[DNI Supervisor]],Productividad!C:U,8,0)</f>
        <v>carlos.palomino@lozapay.com.pe</v>
      </c>
      <c r="AA2" s="8"/>
      <c r="AB2" s="8" t="s">
        <v>36</v>
      </c>
      <c r="AC2" s="8" t="str">
        <f>IFERROR(CONCATENATE(Data.[[#This Row],[DNI Ejecutivo]],Data.[[#This Row],[Periodo]]),"")</f>
        <v>4366139146143</v>
      </c>
      <c r="AD2" s="8" t="str">
        <f>IFERROR(VLOOKUP(Data.[[#This Row],[Código LT]],Reportería.[],10,0),"")</f>
        <v/>
      </c>
      <c r="AE2" s="8" t="str">
        <f>IFERROR(VLOOKUP(Data.[[#This Row],[Código LT]],Reportería.[],11,0),"")</f>
        <v/>
      </c>
      <c r="AF2" s="11">
        <v>1150.5999999999999</v>
      </c>
      <c r="AG2" s="11"/>
      <c r="AH2" s="11"/>
      <c r="AI2" s="11">
        <f>IF(TEXT(Data.[[#This Row],[Periodo]],"mmm-yy")="may-26",VLOOKUP(Data.[[#This Row],[Código]],Reportería!A:BV,57,0),0)</f>
        <v>0</v>
      </c>
      <c r="AJ2" s="11"/>
      <c r="AK2" s="11"/>
      <c r="AL2" s="11">
        <f>IF(Data.[[#This Row],[Vol M0]]="",0,0)</f>
        <v>0</v>
      </c>
      <c r="AM2" s="11">
        <f>IF(Data.[[#This Row],[Vol M0]]="",0,0)</f>
        <v>0</v>
      </c>
      <c r="AN2" s="11">
        <f>IF(Data.[[#This Row],[Vol M0]]="",0,0)</f>
        <v>0</v>
      </c>
      <c r="AO2" s="11">
        <f>IF(Data.[[#This Row],[Vol M0]]="",0,0)</f>
        <v>0</v>
      </c>
      <c r="AP2" s="11">
        <f>IF(Data.[[#This Row],[Vol M0]]="",0,0)</f>
        <v>0</v>
      </c>
      <c r="AQ2" s="11">
        <f>IF(Data.[[#This Row],[Vol M0]]="",0,0)</f>
        <v>0</v>
      </c>
      <c r="AR2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3" spans="1:44" ht="14.25" customHeight="1">
      <c r="A3" s="8" t="str">
        <f>CONCATENATE(Data.[[#This Row],[Código]],Data.[[#This Row],[Ruc]])</f>
        <v>594666620533799401</v>
      </c>
      <c r="B3" s="9">
        <v>46143</v>
      </c>
      <c r="C3" s="8" t="str">
        <f>IFERROR(VLOOKUP(Data.[[#This Row],[Código LT]],Reportería.[],71,0),"")</f>
        <v/>
      </c>
      <c r="D3" s="10">
        <f>IFERROR(VLOOKUP(Data.[[#This Row],[Código]],BV!A:C,2,0),"")</f>
        <v>46153</v>
      </c>
      <c r="E3" s="10">
        <f>IFERROR(VLOOKUP(Data.[[#This Row],[Código]],BV!A:C,3,0),"")</f>
        <v>46157</v>
      </c>
      <c r="F3" s="8">
        <v>5946666</v>
      </c>
      <c r="G3" s="8" t="s">
        <v>38</v>
      </c>
      <c r="H3" s="8">
        <v>20533799401</v>
      </c>
      <c r="I3" s="8" t="s">
        <v>39</v>
      </c>
      <c r="J3" s="8" t="s">
        <v>40</v>
      </c>
      <c r="K3" s="8" t="str">
        <f>IF(Data.[[#This Row],[Tipo de Venta]]&lt;&gt;"POS","Atendido",IF(Data.[[#This Row],[Fecha de Instalación]]&lt;&gt;"","Atendido","Ingresado"))</f>
        <v>Atendido</v>
      </c>
      <c r="L3" s="8" t="str">
        <f>Data.[[#This Row],[Estado]]</f>
        <v>Atendido</v>
      </c>
      <c r="M3" s="8" t="s">
        <v>33</v>
      </c>
      <c r="N3" s="8" t="str">
        <f>IFERROR(VLOOKUP(Data.[[#This Row],[Código LT]],Reportería.[],20,0),"")</f>
        <v/>
      </c>
      <c r="O3" s="8" t="str">
        <f>IFERROR(VLOOKUP(Data.[[#This Row],[Código LT]],Reportería.[],5,0),"")</f>
        <v/>
      </c>
      <c r="P3" s="11">
        <f>Data.[[#This Row],[GPV Mensual LT]]/COUNTIFS(H:H,Data.[[#This Row],[Ruc]],B:B,Data.[[#This Row],[Periodo]])</f>
        <v>112500</v>
      </c>
      <c r="Q3" s="11">
        <v>225000</v>
      </c>
      <c r="R3" s="8" t="s">
        <v>41</v>
      </c>
      <c r="S3" s="8" t="str">
        <f>VLOOKUP(Data.[[#This Row],[Ejecutivo]],Productividad!D:N,11,0)</f>
        <v>002409208</v>
      </c>
      <c r="T3" s="50" t="str">
        <f>VLOOKUP(Data.[[#This Row],[DNI Ejecutivo]],Productividad!C:U,8,0)</f>
        <v>jose.mujica@lozapay.com.pe</v>
      </c>
      <c r="U3" s="8" t="str">
        <f>VLOOKUP(Data.[[#This Row],[DNI Ejecutivo]],Productividad!C:U,4,0)</f>
        <v>Senior</v>
      </c>
      <c r="V3" s="8" t="str">
        <f>IFERROR(VLOOKUP(Data.[[#This Row],[DNI Ejecutivo]],Ejecutivos.[],11,0),"")</f>
        <v>Norte Fuentes</v>
      </c>
      <c r="W3" s="8" t="s">
        <v>42</v>
      </c>
      <c r="X3" s="8" t="str" cm="1">
        <f t="array" ref="X3">IFERROR(_xlfn.IFS(Data.[[#This Row],[Supervisor]]="Jonathan Lapoint","Norte",Data.[[#This Row],[Supervisor]]="Jorge Fuentes","Norte"),"Lima")</f>
        <v>Norte</v>
      </c>
      <c r="Y3" s="8" t="str">
        <f>VLOOKUP(Data.[[#This Row],[Supervisor]],Ejecutivos!B:S,17,0)</f>
        <v>70059865</v>
      </c>
      <c r="Z3" s="50" t="str">
        <f>VLOOKUP(Data.[[#This Row],[DNI Supervisor]],Productividad!C:U,8,0)</f>
        <v>jfuentes@lozapay.com.pe</v>
      </c>
      <c r="AA3" s="8"/>
      <c r="AB3" s="8" t="s">
        <v>43</v>
      </c>
      <c r="AC3" s="8" t="str">
        <f>IFERROR(CONCATENATE(Data.[[#This Row],[DNI Ejecutivo]],Data.[[#This Row],[Periodo]]),"")</f>
        <v>00240920846143</v>
      </c>
      <c r="AD3" s="8" t="str">
        <f>IFERROR(VLOOKUP(Data.[[#This Row],[Código LT]],Reportería.[],10,0),"")</f>
        <v/>
      </c>
      <c r="AE3" s="8" t="str">
        <f>IFERROR(VLOOKUP(Data.[[#This Row],[Código LT]],Reportería.[],11,0),"")</f>
        <v/>
      </c>
      <c r="AF3" s="11">
        <v>28136</v>
      </c>
      <c r="AG3" s="11"/>
      <c r="AH3" s="11"/>
      <c r="AI3" s="11">
        <f>IF(TEXT(Data.[[#This Row],[Periodo]],"mmm-yy")="may-26",VLOOKUP(Data.[[#This Row],[Código]],Reportería!A:BV,57,0),0)</f>
        <v>16342</v>
      </c>
      <c r="AJ3" s="11"/>
      <c r="AK3" s="11"/>
      <c r="AL3" s="11">
        <f>IF(Data.[[#This Row],[Vol M0]]="",0,0)</f>
        <v>0</v>
      </c>
      <c r="AM3" s="11">
        <f>IF(Data.[[#This Row],[Vol M0]]="",0,0)</f>
        <v>0</v>
      </c>
      <c r="AN3" s="11">
        <f>IF(Data.[[#This Row],[Vol M0]]="",0,0)</f>
        <v>0</v>
      </c>
      <c r="AO3" s="11">
        <f>IF(Data.[[#This Row],[Vol M0]]="",0,0)</f>
        <v>0</v>
      </c>
      <c r="AP3" s="11">
        <f>IF(Data.[[#This Row],[Vol M0]]="",0,0)</f>
        <v>0</v>
      </c>
      <c r="AQ3" s="11">
        <f>IF(Data.[[#This Row],[Vol M0]]="",0,0)</f>
        <v>0</v>
      </c>
      <c r="AR3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0.5</v>
      </c>
    </row>
    <row r="4" spans="1:44" ht="14.25" customHeight="1">
      <c r="A4" s="8" t="str">
        <f>CONCATENATE(Data.[[#This Row],[Código]],Data.[[#This Row],[Ruc]])</f>
        <v>594637720533799401</v>
      </c>
      <c r="B4" s="9">
        <v>46143</v>
      </c>
      <c r="C4" s="8" t="str">
        <f>IFERROR(VLOOKUP(Data.[[#This Row],[Código LT]],Reportería.[],71,0),"")</f>
        <v/>
      </c>
      <c r="D4" s="10">
        <f>IFERROR(VLOOKUP(Data.[[#This Row],[Código]],BV!A:C,2,0),"")</f>
        <v>46153</v>
      </c>
      <c r="E4" s="10">
        <f>IFERROR(VLOOKUP(Data.[[#This Row],[Código]],BV!A:C,3,0),"")</f>
        <v>46157</v>
      </c>
      <c r="F4" s="8">
        <v>5946377</v>
      </c>
      <c r="G4" s="8" t="s">
        <v>44</v>
      </c>
      <c r="H4" s="8">
        <v>20533799401</v>
      </c>
      <c r="I4" s="8" t="s">
        <v>39</v>
      </c>
      <c r="J4" s="8" t="s">
        <v>40</v>
      </c>
      <c r="K4" s="8" t="str">
        <f>IF(Data.[[#This Row],[Tipo de Venta]]&lt;&gt;"POS","Atendido",IF(Data.[[#This Row],[Fecha de Instalación]]&lt;&gt;"","Atendido","Ingresado"))</f>
        <v>Atendido</v>
      </c>
      <c r="L4" s="8" t="str">
        <f>Data.[[#This Row],[Estado]]</f>
        <v>Atendido</v>
      </c>
      <c r="M4" s="8" t="s">
        <v>33</v>
      </c>
      <c r="N4" s="8" t="str">
        <f>IFERROR(VLOOKUP(Data.[[#This Row],[Código LT]],Reportería.[],20,0),"")</f>
        <v/>
      </c>
      <c r="O4" s="8" t="str">
        <f>IFERROR(VLOOKUP(Data.[[#This Row],[Código LT]],Reportería.[],5,0),"")</f>
        <v/>
      </c>
      <c r="P4" s="11">
        <f>Data.[[#This Row],[GPV Mensual LT]]/COUNTIFS(H:H,Data.[[#This Row],[Ruc]],B:B,Data.[[#This Row],[Periodo]])</f>
        <v>112500</v>
      </c>
      <c r="Q4" s="11">
        <v>225000</v>
      </c>
      <c r="R4" s="8" t="s">
        <v>41</v>
      </c>
      <c r="S4" s="8" t="str">
        <f>VLOOKUP(Data.[[#This Row],[Ejecutivo]],Productividad!D:N,11,0)</f>
        <v>002409208</v>
      </c>
      <c r="T4" s="50" t="str">
        <f>VLOOKUP(Data.[[#This Row],[DNI Ejecutivo]],Productividad!C:U,8,0)</f>
        <v>jose.mujica@lozapay.com.pe</v>
      </c>
      <c r="U4" s="8" t="str">
        <f>VLOOKUP(Data.[[#This Row],[DNI Ejecutivo]],Productividad!C:U,4,0)</f>
        <v>Senior</v>
      </c>
      <c r="V4" s="8" t="str">
        <f>IFERROR(VLOOKUP(Data.[[#This Row],[DNI Ejecutivo]],Ejecutivos.[],11,0),"")</f>
        <v>Norte Fuentes</v>
      </c>
      <c r="W4" s="8" t="s">
        <v>42</v>
      </c>
      <c r="X4" s="8" t="str" cm="1">
        <f t="array" ref="X4">IFERROR(_xlfn.IFS(Data.[[#This Row],[Supervisor]]="Jonathan Lapoint","Norte",Data.[[#This Row],[Supervisor]]="Jorge Fuentes","Norte"),"Lima")</f>
        <v>Norte</v>
      </c>
      <c r="Y4" s="8" t="str">
        <f>VLOOKUP(Data.[[#This Row],[Supervisor]],Ejecutivos!B:S,17,0)</f>
        <v>70059865</v>
      </c>
      <c r="Z4" s="50" t="str">
        <f>VLOOKUP(Data.[[#This Row],[DNI Supervisor]],Productividad!C:U,8,0)</f>
        <v>jfuentes@lozapay.com.pe</v>
      </c>
      <c r="AA4" s="8"/>
      <c r="AB4" s="8" t="s">
        <v>43</v>
      </c>
      <c r="AC4" s="8" t="str">
        <f>IFERROR(CONCATENATE(Data.[[#This Row],[DNI Ejecutivo]],Data.[[#This Row],[Periodo]]),"")</f>
        <v>00240920846143</v>
      </c>
      <c r="AD4" s="8" t="str">
        <f>IFERROR(VLOOKUP(Data.[[#This Row],[Código LT]],Reportería.[],10,0),"")</f>
        <v/>
      </c>
      <c r="AE4" s="8" t="str">
        <f>IFERROR(VLOOKUP(Data.[[#This Row],[Código LT]],Reportería.[],11,0),"")</f>
        <v/>
      </c>
      <c r="AF4" s="11">
        <v>19372</v>
      </c>
      <c r="AG4" s="11"/>
      <c r="AH4" s="11"/>
      <c r="AI4" s="11">
        <f>IF(TEXT(Data.[[#This Row],[Periodo]],"mmm-yy")="may-26",VLOOKUP(Data.[[#This Row],[Código]],Reportería!A:BV,57,0),0)</f>
        <v>15326</v>
      </c>
      <c r="AJ4" s="11"/>
      <c r="AK4" s="11"/>
      <c r="AL4" s="11">
        <f>IF(Data.[[#This Row],[Vol M0]]="",0,0)</f>
        <v>0</v>
      </c>
      <c r="AM4" s="11">
        <f>IF(Data.[[#This Row],[Vol M0]]="",0,0)</f>
        <v>0</v>
      </c>
      <c r="AN4" s="11">
        <f>IF(Data.[[#This Row],[Vol M0]]="",0,0)</f>
        <v>0</v>
      </c>
      <c r="AO4" s="11">
        <f>IF(Data.[[#This Row],[Vol M0]]="",0,0)</f>
        <v>0</v>
      </c>
      <c r="AP4" s="11">
        <f>IF(Data.[[#This Row],[Vol M0]]="",0,0)</f>
        <v>0</v>
      </c>
      <c r="AQ4" s="11">
        <f>IF(Data.[[#This Row],[Vol M0]]="",0,0)</f>
        <v>0</v>
      </c>
      <c r="AR4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0.5</v>
      </c>
    </row>
    <row r="5" spans="1:44" ht="14.25" customHeight="1">
      <c r="A5" s="8" t="str">
        <f>CONCATENATE(Data.[[#This Row],[Código]],Data.[[#This Row],[Ruc]])</f>
        <v>105849820612897949</v>
      </c>
      <c r="B5" s="9">
        <v>46143</v>
      </c>
      <c r="C5" s="8" t="str">
        <f>IFERROR(VLOOKUP(Data.[[#This Row],[Código LT]],Reportería.[],71,0),"")</f>
        <v/>
      </c>
      <c r="D5" s="10">
        <f>IFERROR(VLOOKUP(Data.[[#This Row],[Código]],BV!A:C,2,0),"")</f>
        <v>46154</v>
      </c>
      <c r="E5" s="10">
        <f>IFERROR(VLOOKUP(Data.[[#This Row],[Código]],BV!A:C,3,0),"")</f>
        <v>46163</v>
      </c>
      <c r="F5" s="8">
        <v>1058498</v>
      </c>
      <c r="G5" s="8"/>
      <c r="H5" s="8">
        <v>20612897949</v>
      </c>
      <c r="I5" s="8" t="s">
        <v>45</v>
      </c>
      <c r="J5" s="8" t="s">
        <v>46</v>
      </c>
      <c r="K5" s="8" t="str">
        <f>IF(Data.[[#This Row],[Tipo de Venta]]&lt;&gt;"POS","Atendido",IF(Data.[[#This Row],[Fecha de Instalación]]&lt;&gt;"","Atendido","Ingresado"))</f>
        <v>Atendido</v>
      </c>
      <c r="L5" s="8" t="str">
        <f>Data.[[#This Row],[Estado]]</f>
        <v>Atendido</v>
      </c>
      <c r="M5" s="8" t="s">
        <v>33</v>
      </c>
      <c r="N5" s="8" t="str">
        <f>IFERROR(VLOOKUP(Data.[[#This Row],[Código LT]],Reportería.[],20,0),"")</f>
        <v/>
      </c>
      <c r="O5" s="8" t="str">
        <f>IFERROR(VLOOKUP(Data.[[#This Row],[Código LT]],Reportería.[],5,0),"")</f>
        <v/>
      </c>
      <c r="P5" s="11">
        <f>Data.[[#This Row],[GPV Mensual LT]]/COUNTIFS(H:H,Data.[[#This Row],[Ruc]],B:B,Data.[[#This Row],[Periodo]])</f>
        <v>100000</v>
      </c>
      <c r="Q5" s="11">
        <v>100000</v>
      </c>
      <c r="R5" s="8" t="s">
        <v>47</v>
      </c>
      <c r="S5" s="8" t="str">
        <f>VLOOKUP(Data.[[#This Row],[Ejecutivo]],Productividad!D:N,11,0)</f>
        <v>44881019</v>
      </c>
      <c r="T5" s="50" t="str">
        <f>VLOOKUP(Data.[[#This Row],[DNI Ejecutivo]],Productividad!C:U,8,0)</f>
        <v>jackeline.matos@lozapay.com.pe</v>
      </c>
      <c r="U5" s="8" t="str">
        <f>VLOOKUP(Data.[[#This Row],[DNI Ejecutivo]],Productividad!C:U,4,0)</f>
        <v>Senior</v>
      </c>
      <c r="V5" s="8" t="str">
        <f>IFERROR(VLOOKUP(Data.[[#This Row],[DNI Ejecutivo]],Ejecutivos.[],11,0),"")</f>
        <v>Lima Hamm</v>
      </c>
      <c r="W5" s="8" t="s">
        <v>48</v>
      </c>
      <c r="X5" s="8" t="str" cm="1">
        <f t="array" ref="X5">IFERROR(_xlfn.IFS(Data.[[#This Row],[Supervisor]]="Jonathan Lapoint","Norte",Data.[[#This Row],[Supervisor]]="Jorge Fuentes","Norte"),"Lima")</f>
        <v>Lima</v>
      </c>
      <c r="Y5" s="8" t="str">
        <f>VLOOKUP(Data.[[#This Row],[Supervisor]],Ejecutivos!B:S,17,0)</f>
        <v>44818200</v>
      </c>
      <c r="Z5" s="50" t="str">
        <f>VLOOKUP(Data.[[#This Row],[DNI Supervisor]],Productividad!C:U,8,0)</f>
        <v>hramirezp@lozapay.com.pe</v>
      </c>
      <c r="AA5" s="8"/>
      <c r="AB5" s="8" t="s">
        <v>49</v>
      </c>
      <c r="AC5" s="8" t="str">
        <f>IFERROR(CONCATENATE(Data.[[#This Row],[DNI Ejecutivo]],Data.[[#This Row],[Periodo]]),"")</f>
        <v>4488101946143</v>
      </c>
      <c r="AD5" s="8" t="str">
        <f>IFERROR(VLOOKUP(Data.[[#This Row],[Código LT]],Reportería.[],10,0),"")</f>
        <v/>
      </c>
      <c r="AE5" s="8" t="str">
        <f>IFERROR(VLOOKUP(Data.[[#This Row],[Código LT]],Reportería.[],11,0),"")</f>
        <v/>
      </c>
      <c r="AF5" s="11">
        <v>2505</v>
      </c>
      <c r="AG5" s="11"/>
      <c r="AH5" s="11"/>
      <c r="AI5" s="11">
        <f>IF(TEXT(Data.[[#This Row],[Periodo]],"mmm-yy")="may-26",VLOOKUP(Data.[[#This Row],[Código]],Reportería!A:BV,57,0),0)</f>
        <v>27810</v>
      </c>
      <c r="AJ5" s="11"/>
      <c r="AK5" s="11"/>
      <c r="AL5" s="11">
        <f>IF(Data.[[#This Row],[Vol M0]]="",0,0)</f>
        <v>0</v>
      </c>
      <c r="AM5" s="11">
        <f>IF(Data.[[#This Row],[Vol M0]]="",0,0)</f>
        <v>0</v>
      </c>
      <c r="AN5" s="11">
        <f>IF(Data.[[#This Row],[Vol M0]]="",0,0)</f>
        <v>0</v>
      </c>
      <c r="AO5" s="11">
        <f>IF(Data.[[#This Row],[Vol M0]]="",0,0)</f>
        <v>0</v>
      </c>
      <c r="AP5" s="11">
        <f>IF(Data.[[#This Row],[Vol M0]]="",0,0)</f>
        <v>0</v>
      </c>
      <c r="AQ5" s="11">
        <f>IF(Data.[[#This Row],[Vol M0]]="",0,0)</f>
        <v>0</v>
      </c>
      <c r="AR5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1</v>
      </c>
    </row>
    <row r="6" spans="1:44" ht="14.25" customHeight="1">
      <c r="A6" s="8" t="str">
        <f>CONCATENATE(Data.[[#This Row],[Código]],Data.[[#This Row],[Ruc]])</f>
        <v>105844120610935932</v>
      </c>
      <c r="B6" s="9">
        <v>46143</v>
      </c>
      <c r="C6" s="8" t="str">
        <f>IFERROR(VLOOKUP(Data.[[#This Row],[Código LT]],Reportería.[],71,0),"")</f>
        <v/>
      </c>
      <c r="D6" s="10">
        <f>IFERROR(VLOOKUP(Data.[[#This Row],[Código]],BV!A:C,2,0),"")</f>
        <v>46154</v>
      </c>
      <c r="E6" s="10">
        <f>IFERROR(VLOOKUP(Data.[[#This Row],[Código]],BV!A:C,3,0),"")</f>
        <v>46161</v>
      </c>
      <c r="F6" s="8">
        <v>1058441</v>
      </c>
      <c r="G6" s="8"/>
      <c r="H6" s="8">
        <v>20610935932</v>
      </c>
      <c r="I6" s="8" t="s">
        <v>50</v>
      </c>
      <c r="J6" s="8" t="s">
        <v>51</v>
      </c>
      <c r="K6" s="8" t="str">
        <f>IF(Data.[[#This Row],[Tipo de Venta]]&lt;&gt;"POS","Atendido",IF(Data.[[#This Row],[Fecha de Instalación]]&lt;&gt;"","Atendido","Ingresado"))</f>
        <v>Atendido</v>
      </c>
      <c r="L6" s="8" t="str">
        <f>Data.[[#This Row],[Estado]]</f>
        <v>Atendido</v>
      </c>
      <c r="M6" s="8" t="s">
        <v>33</v>
      </c>
      <c r="N6" s="8" t="str">
        <f>IFERROR(VLOOKUP(Data.[[#This Row],[Código LT]],Reportería.[],20,0),"")</f>
        <v/>
      </c>
      <c r="O6" s="8" t="str">
        <f>IFERROR(VLOOKUP(Data.[[#This Row],[Código LT]],Reportería.[],5,0),"")</f>
        <v/>
      </c>
      <c r="P6" s="11">
        <f>Data.[[#This Row],[GPV Mensual LT]]/COUNTIFS(H:H,Data.[[#This Row],[Ruc]],B:B,Data.[[#This Row],[Periodo]])</f>
        <v>40000</v>
      </c>
      <c r="Q6" s="11">
        <v>240000</v>
      </c>
      <c r="R6" s="8" t="s">
        <v>52</v>
      </c>
      <c r="S6" s="8" t="str">
        <f>VLOOKUP(Data.[[#This Row],[Ejecutivo]],Productividad!D:N,11,0)</f>
        <v>47045287</v>
      </c>
      <c r="T6" s="50" t="str">
        <f>VLOOKUP(Data.[[#This Row],[DNI Ejecutivo]],Productividad!C:U,8,0)</f>
        <v>asifuentesu@lozapay.com.pe</v>
      </c>
      <c r="U6" s="8" t="str">
        <f>VLOOKUP(Data.[[#This Row],[DNI Ejecutivo]],Productividad!C:U,4,0)</f>
        <v>Elite</v>
      </c>
      <c r="V6" s="8" t="str">
        <f>IFERROR(VLOOKUP(Data.[[#This Row],[DNI Ejecutivo]],Ejecutivos.[],11,0),"")</f>
        <v>Norte Fuentes</v>
      </c>
      <c r="W6" s="8" t="s">
        <v>42</v>
      </c>
      <c r="X6" s="8" t="str" cm="1">
        <f t="array" ref="X6">IFERROR(_xlfn.IFS(Data.[[#This Row],[Supervisor]]="Jonathan Lapoint","Norte",Data.[[#This Row],[Supervisor]]="Jorge Fuentes","Norte"),"Lima")</f>
        <v>Norte</v>
      </c>
      <c r="Y6" s="8" t="str">
        <f>VLOOKUP(Data.[[#This Row],[Supervisor]],Ejecutivos!B:S,17,0)</f>
        <v>70059865</v>
      </c>
      <c r="Z6" s="50" t="str">
        <f>VLOOKUP(Data.[[#This Row],[DNI Supervisor]],Productividad!C:U,8,0)</f>
        <v>jfuentes@lozapay.com.pe</v>
      </c>
      <c r="AA6" s="8"/>
      <c r="AB6" s="8" t="s">
        <v>53</v>
      </c>
      <c r="AC6" s="8" t="str">
        <f>IFERROR(CONCATENATE(Data.[[#This Row],[DNI Ejecutivo]],Data.[[#This Row],[Periodo]]),"")</f>
        <v>4704528746143</v>
      </c>
      <c r="AD6" s="8" t="str">
        <f>IFERROR(VLOOKUP(Data.[[#This Row],[Código LT]],Reportería.[],10,0),"")</f>
        <v/>
      </c>
      <c r="AE6" s="8" t="str">
        <f>IFERROR(VLOOKUP(Data.[[#This Row],[Código LT]],Reportería.[],11,0),"")</f>
        <v/>
      </c>
      <c r="AF6" s="11">
        <v>1799.2</v>
      </c>
      <c r="AG6" s="11"/>
      <c r="AH6" s="11"/>
      <c r="AI6" s="11">
        <f>IF(TEXT(Data.[[#This Row],[Periodo]],"mmm-yy")="may-26",VLOOKUP(Data.[[#This Row],[Código]],Reportería!A:BV,57,0),0)</f>
        <v>4323.5</v>
      </c>
      <c r="AJ6" s="11"/>
      <c r="AK6" s="11"/>
      <c r="AL6" s="11">
        <f>IF(Data.[[#This Row],[Vol M0]]="",0,0)</f>
        <v>0</v>
      </c>
      <c r="AM6" s="11">
        <f>IF(Data.[[#This Row],[Vol M0]]="",0,0)</f>
        <v>0</v>
      </c>
      <c r="AN6" s="11">
        <f>IF(Data.[[#This Row],[Vol M0]]="",0,0)</f>
        <v>0</v>
      </c>
      <c r="AO6" s="11">
        <f>IF(Data.[[#This Row],[Vol M0]]="",0,0)</f>
        <v>0</v>
      </c>
      <c r="AP6" s="11">
        <f>IF(Data.[[#This Row],[Vol M0]]="",0,0)</f>
        <v>0</v>
      </c>
      <c r="AQ6" s="11">
        <f>IF(Data.[[#This Row],[Vol M0]]="",0,0)</f>
        <v>0</v>
      </c>
      <c r="AR6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0.16666666666666666</v>
      </c>
    </row>
    <row r="7" spans="1:44" ht="14.25" customHeight="1">
      <c r="A7" s="8" t="str">
        <f>CONCATENATE(Data.[[#This Row],[Código]],Data.[[#This Row],[Ruc]])</f>
        <v>105845720610935932</v>
      </c>
      <c r="B7" s="9">
        <v>46143</v>
      </c>
      <c r="C7" s="8" t="str">
        <f>IFERROR(VLOOKUP(Data.[[#This Row],[Código LT]],Reportería.[],71,0),"")</f>
        <v/>
      </c>
      <c r="D7" s="10">
        <f>IFERROR(VLOOKUP(Data.[[#This Row],[Código]],BV!A:C,2,0),"")</f>
        <v>46154</v>
      </c>
      <c r="E7" s="10">
        <f>IFERROR(VLOOKUP(Data.[[#This Row],[Código]],BV!A:C,3,0),"")</f>
        <v>46161</v>
      </c>
      <c r="F7" s="8">
        <v>1058457</v>
      </c>
      <c r="G7" s="8"/>
      <c r="H7" s="8">
        <v>20610935932</v>
      </c>
      <c r="I7" s="8" t="s">
        <v>50</v>
      </c>
      <c r="J7" s="8" t="s">
        <v>54</v>
      </c>
      <c r="K7" s="8" t="str">
        <f>IF(Data.[[#This Row],[Tipo de Venta]]&lt;&gt;"POS","Atendido",IF(Data.[[#This Row],[Fecha de Instalación]]&lt;&gt;"","Atendido","Ingresado"))</f>
        <v>Atendido</v>
      </c>
      <c r="L7" s="8" t="str">
        <f>Data.[[#This Row],[Estado]]</f>
        <v>Atendido</v>
      </c>
      <c r="M7" s="8" t="s">
        <v>33</v>
      </c>
      <c r="N7" s="8" t="str">
        <f>IFERROR(VLOOKUP(Data.[[#This Row],[Código LT]],Reportería.[],20,0),"")</f>
        <v/>
      </c>
      <c r="O7" s="8" t="str">
        <f>IFERROR(VLOOKUP(Data.[[#This Row],[Código LT]],Reportería.[],5,0),"")</f>
        <v/>
      </c>
      <c r="P7" s="11">
        <f>Data.[[#This Row],[GPV Mensual LT]]/COUNTIFS(H:H,Data.[[#This Row],[Ruc]],B:B,Data.[[#This Row],[Periodo]])</f>
        <v>40000</v>
      </c>
      <c r="Q7" s="11">
        <v>240000</v>
      </c>
      <c r="R7" s="8" t="s">
        <v>52</v>
      </c>
      <c r="S7" s="8" t="str">
        <f>VLOOKUP(Data.[[#This Row],[Ejecutivo]],Productividad!D:N,11,0)</f>
        <v>47045287</v>
      </c>
      <c r="T7" s="50" t="str">
        <f>VLOOKUP(Data.[[#This Row],[DNI Ejecutivo]],Productividad!C:U,8,0)</f>
        <v>asifuentesu@lozapay.com.pe</v>
      </c>
      <c r="U7" s="8" t="str">
        <f>VLOOKUP(Data.[[#This Row],[DNI Ejecutivo]],Productividad!C:U,4,0)</f>
        <v>Elite</v>
      </c>
      <c r="V7" s="8" t="str">
        <f>IFERROR(VLOOKUP(Data.[[#This Row],[DNI Ejecutivo]],Ejecutivos.[],11,0),"")</f>
        <v>Norte Fuentes</v>
      </c>
      <c r="W7" s="8" t="s">
        <v>42</v>
      </c>
      <c r="X7" s="8" t="str" cm="1">
        <f t="array" ref="X7">IFERROR(_xlfn.IFS(Data.[[#This Row],[Supervisor]]="Jonathan Lapoint","Norte",Data.[[#This Row],[Supervisor]]="Jorge Fuentes","Norte"),"Lima")</f>
        <v>Norte</v>
      </c>
      <c r="Y7" s="8" t="str">
        <f>VLOOKUP(Data.[[#This Row],[Supervisor]],Ejecutivos!B:S,17,0)</f>
        <v>70059865</v>
      </c>
      <c r="Z7" s="50" t="str">
        <f>VLOOKUP(Data.[[#This Row],[DNI Supervisor]],Productividad!C:U,8,0)</f>
        <v>jfuentes@lozapay.com.pe</v>
      </c>
      <c r="AA7" s="8"/>
      <c r="AB7" s="8" t="s">
        <v>53</v>
      </c>
      <c r="AC7" s="8" t="str">
        <f>IFERROR(CONCATENATE(Data.[[#This Row],[DNI Ejecutivo]],Data.[[#This Row],[Periodo]]),"")</f>
        <v>4704528746143</v>
      </c>
      <c r="AD7" s="8" t="str">
        <f>IFERROR(VLOOKUP(Data.[[#This Row],[Código LT]],Reportería.[],10,0),"")</f>
        <v/>
      </c>
      <c r="AE7" s="8" t="str">
        <f>IFERROR(VLOOKUP(Data.[[#This Row],[Código LT]],Reportería.[],11,0),"")</f>
        <v/>
      </c>
      <c r="AF7" s="11">
        <v>918.90000000000009</v>
      </c>
      <c r="AG7" s="11"/>
      <c r="AH7" s="11"/>
      <c r="AI7" s="11">
        <f>IF(TEXT(Data.[[#This Row],[Periodo]],"mmm-yy")="may-26",VLOOKUP(Data.[[#This Row],[Código]],Reportería!A:BV,57,0),0)</f>
        <v>3145.5</v>
      </c>
      <c r="AJ7" s="11"/>
      <c r="AK7" s="11"/>
      <c r="AL7" s="11">
        <f>IF(Data.[[#This Row],[Vol M0]]="",0,0)</f>
        <v>0</v>
      </c>
      <c r="AM7" s="11">
        <f>IF(Data.[[#This Row],[Vol M0]]="",0,0)</f>
        <v>0</v>
      </c>
      <c r="AN7" s="11">
        <f>IF(Data.[[#This Row],[Vol M0]]="",0,0)</f>
        <v>0</v>
      </c>
      <c r="AO7" s="11">
        <f>IF(Data.[[#This Row],[Vol M0]]="",0,0)</f>
        <v>0</v>
      </c>
      <c r="AP7" s="11">
        <f>IF(Data.[[#This Row],[Vol M0]]="",0,0)</f>
        <v>0</v>
      </c>
      <c r="AQ7" s="11">
        <f>IF(Data.[[#This Row],[Vol M0]]="",0,0)</f>
        <v>0</v>
      </c>
      <c r="AR7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0.16666666666666666</v>
      </c>
    </row>
    <row r="8" spans="1:44" ht="14.25" customHeight="1">
      <c r="A8" s="8" t="str">
        <f>CONCATENATE(Data.[[#This Row],[Código]],Data.[[#This Row],[Ruc]])</f>
        <v>105845820610935932</v>
      </c>
      <c r="B8" s="9">
        <v>46143</v>
      </c>
      <c r="C8" s="8" t="str">
        <f>IFERROR(VLOOKUP(Data.[[#This Row],[Código LT]],Reportería.[],71,0),"")</f>
        <v/>
      </c>
      <c r="D8" s="10">
        <f>IFERROR(VLOOKUP(Data.[[#This Row],[Código]],BV!A:C,2,0),"")</f>
        <v>46154</v>
      </c>
      <c r="E8" s="10">
        <f>IFERROR(VLOOKUP(Data.[[#This Row],[Código]],BV!A:C,3,0),"")</f>
        <v>46161</v>
      </c>
      <c r="F8" s="8">
        <v>1058458</v>
      </c>
      <c r="G8" s="8"/>
      <c r="H8" s="8">
        <v>20610935932</v>
      </c>
      <c r="I8" s="8" t="s">
        <v>50</v>
      </c>
      <c r="J8" s="8" t="s">
        <v>55</v>
      </c>
      <c r="K8" s="8" t="str">
        <f>IF(Data.[[#This Row],[Tipo de Venta]]&lt;&gt;"POS","Atendido",IF(Data.[[#This Row],[Fecha de Instalación]]&lt;&gt;"","Atendido","Ingresado"))</f>
        <v>Atendido</v>
      </c>
      <c r="L8" s="8" t="str">
        <f>Data.[[#This Row],[Estado]]</f>
        <v>Atendido</v>
      </c>
      <c r="M8" s="8" t="s">
        <v>33</v>
      </c>
      <c r="N8" s="8" t="str">
        <f>IFERROR(VLOOKUP(Data.[[#This Row],[Código LT]],Reportería.[],20,0),"")</f>
        <v/>
      </c>
      <c r="O8" s="8" t="str">
        <f>IFERROR(VLOOKUP(Data.[[#This Row],[Código LT]],Reportería.[],5,0),"")</f>
        <v/>
      </c>
      <c r="P8" s="11">
        <f>Data.[[#This Row],[GPV Mensual LT]]/COUNTIFS(H:H,Data.[[#This Row],[Ruc]],B:B,Data.[[#This Row],[Periodo]])</f>
        <v>40000</v>
      </c>
      <c r="Q8" s="11">
        <v>240000</v>
      </c>
      <c r="R8" s="8" t="s">
        <v>52</v>
      </c>
      <c r="S8" s="8" t="str">
        <f>VLOOKUP(Data.[[#This Row],[Ejecutivo]],Productividad!D:N,11,0)</f>
        <v>47045287</v>
      </c>
      <c r="T8" s="50" t="str">
        <f>VLOOKUP(Data.[[#This Row],[DNI Ejecutivo]],Productividad!C:U,8,0)</f>
        <v>asifuentesu@lozapay.com.pe</v>
      </c>
      <c r="U8" s="8" t="str">
        <f>VLOOKUP(Data.[[#This Row],[DNI Ejecutivo]],Productividad!C:U,4,0)</f>
        <v>Elite</v>
      </c>
      <c r="V8" s="8" t="str">
        <f>IFERROR(VLOOKUP(Data.[[#This Row],[DNI Ejecutivo]],Ejecutivos.[],11,0),"")</f>
        <v>Norte Fuentes</v>
      </c>
      <c r="W8" s="8" t="s">
        <v>42</v>
      </c>
      <c r="X8" s="8" t="str" cm="1">
        <f t="array" ref="X8">IFERROR(_xlfn.IFS(Data.[[#This Row],[Supervisor]]="Jonathan Lapoint","Norte",Data.[[#This Row],[Supervisor]]="Jorge Fuentes","Norte"),"Lima")</f>
        <v>Norte</v>
      </c>
      <c r="Y8" s="8" t="str">
        <f>VLOOKUP(Data.[[#This Row],[Supervisor]],Ejecutivos!B:S,17,0)</f>
        <v>70059865</v>
      </c>
      <c r="Z8" s="50" t="str">
        <f>VLOOKUP(Data.[[#This Row],[DNI Supervisor]],Productividad!C:U,8,0)</f>
        <v>jfuentes@lozapay.com.pe</v>
      </c>
      <c r="AA8" s="8"/>
      <c r="AB8" s="8" t="s">
        <v>53</v>
      </c>
      <c r="AC8" s="8" t="str">
        <f>IFERROR(CONCATENATE(Data.[[#This Row],[DNI Ejecutivo]],Data.[[#This Row],[Periodo]]),"")</f>
        <v>4704528746143</v>
      </c>
      <c r="AD8" s="8" t="str">
        <f>IFERROR(VLOOKUP(Data.[[#This Row],[Código LT]],Reportería.[],10,0),"")</f>
        <v/>
      </c>
      <c r="AE8" s="8" t="str">
        <f>IFERROR(VLOOKUP(Data.[[#This Row],[Código LT]],Reportería.[],11,0),"")</f>
        <v/>
      </c>
      <c r="AF8" s="11">
        <v>6232</v>
      </c>
      <c r="AG8" s="11"/>
      <c r="AH8" s="11"/>
      <c r="AI8" s="11">
        <f>IF(TEXT(Data.[[#This Row],[Periodo]],"mmm-yy")="may-26",VLOOKUP(Data.[[#This Row],[Código]],Reportería!A:BV,57,0),0)</f>
        <v>4649</v>
      </c>
      <c r="AJ8" s="11"/>
      <c r="AK8" s="11"/>
      <c r="AL8" s="11">
        <f>IF(Data.[[#This Row],[Vol M0]]="",0,0)</f>
        <v>0</v>
      </c>
      <c r="AM8" s="11">
        <f>IF(Data.[[#This Row],[Vol M0]]="",0,0)</f>
        <v>0</v>
      </c>
      <c r="AN8" s="11">
        <f>IF(Data.[[#This Row],[Vol M0]]="",0,0)</f>
        <v>0</v>
      </c>
      <c r="AO8" s="11">
        <f>IF(Data.[[#This Row],[Vol M0]]="",0,0)</f>
        <v>0</v>
      </c>
      <c r="AP8" s="11">
        <f>IF(Data.[[#This Row],[Vol M0]]="",0,0)</f>
        <v>0</v>
      </c>
      <c r="AQ8" s="11">
        <f>IF(Data.[[#This Row],[Vol M0]]="",0,0)</f>
        <v>0</v>
      </c>
      <c r="AR8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0.16666666666666666</v>
      </c>
    </row>
    <row r="9" spans="1:44" ht="14.25" customHeight="1">
      <c r="A9" s="8" t="str">
        <f>CONCATENATE(Data.[[#This Row],[Código]],Data.[[#This Row],[Ruc]])</f>
        <v>105845920610935932</v>
      </c>
      <c r="B9" s="9">
        <v>46143</v>
      </c>
      <c r="C9" s="8" t="str">
        <f>IFERROR(VLOOKUP(Data.[[#This Row],[Código LT]],Reportería.[],71,0),"")</f>
        <v/>
      </c>
      <c r="D9" s="10">
        <f>IFERROR(VLOOKUP(Data.[[#This Row],[Código]],BV!A:C,2,0),"")</f>
        <v>46154</v>
      </c>
      <c r="E9" s="10">
        <f>IFERROR(VLOOKUP(Data.[[#This Row],[Código]],BV!A:C,3,0),"")</f>
        <v>46161</v>
      </c>
      <c r="F9" s="8">
        <v>1058459</v>
      </c>
      <c r="G9" s="8"/>
      <c r="H9" s="8">
        <v>20610935932</v>
      </c>
      <c r="I9" s="8" t="s">
        <v>50</v>
      </c>
      <c r="J9" s="8" t="s">
        <v>56</v>
      </c>
      <c r="K9" s="8" t="str">
        <f>IF(Data.[[#This Row],[Tipo de Venta]]&lt;&gt;"POS","Atendido",IF(Data.[[#This Row],[Fecha de Instalación]]&lt;&gt;"","Atendido","Ingresado"))</f>
        <v>Atendido</v>
      </c>
      <c r="L9" s="8" t="str">
        <f>Data.[[#This Row],[Estado]]</f>
        <v>Atendido</v>
      </c>
      <c r="M9" s="8" t="s">
        <v>33</v>
      </c>
      <c r="N9" s="8" t="str">
        <f>IFERROR(VLOOKUP(Data.[[#This Row],[Código LT]],Reportería.[],20,0),"")</f>
        <v/>
      </c>
      <c r="O9" s="8" t="str">
        <f>IFERROR(VLOOKUP(Data.[[#This Row],[Código LT]],Reportería.[],5,0),"")</f>
        <v/>
      </c>
      <c r="P9" s="11">
        <f>Data.[[#This Row],[GPV Mensual LT]]/COUNTIFS(H:H,Data.[[#This Row],[Ruc]],B:B,Data.[[#This Row],[Periodo]])</f>
        <v>40000</v>
      </c>
      <c r="Q9" s="11">
        <v>240000</v>
      </c>
      <c r="R9" s="8" t="s">
        <v>52</v>
      </c>
      <c r="S9" s="8" t="str">
        <f>VLOOKUP(Data.[[#This Row],[Ejecutivo]],Productividad!D:N,11,0)</f>
        <v>47045287</v>
      </c>
      <c r="T9" s="50" t="str">
        <f>VLOOKUP(Data.[[#This Row],[DNI Ejecutivo]],Productividad!C:U,8,0)</f>
        <v>asifuentesu@lozapay.com.pe</v>
      </c>
      <c r="U9" s="8" t="str">
        <f>VLOOKUP(Data.[[#This Row],[DNI Ejecutivo]],Productividad!C:U,4,0)</f>
        <v>Elite</v>
      </c>
      <c r="V9" s="8" t="str">
        <f>IFERROR(VLOOKUP(Data.[[#This Row],[DNI Ejecutivo]],Ejecutivos.[],11,0),"")</f>
        <v>Norte Fuentes</v>
      </c>
      <c r="W9" s="8" t="s">
        <v>42</v>
      </c>
      <c r="X9" s="8" t="str" cm="1">
        <f t="array" ref="X9">IFERROR(_xlfn.IFS(Data.[[#This Row],[Supervisor]]="Jonathan Lapoint","Norte",Data.[[#This Row],[Supervisor]]="Jorge Fuentes","Norte"),"Lima")</f>
        <v>Norte</v>
      </c>
      <c r="Y9" s="8" t="str">
        <f>VLOOKUP(Data.[[#This Row],[Supervisor]],Ejecutivos!B:S,17,0)</f>
        <v>70059865</v>
      </c>
      <c r="Z9" s="50" t="str">
        <f>VLOOKUP(Data.[[#This Row],[DNI Supervisor]],Productividad!C:U,8,0)</f>
        <v>jfuentes@lozapay.com.pe</v>
      </c>
      <c r="AA9" s="8"/>
      <c r="AB9" s="8" t="s">
        <v>53</v>
      </c>
      <c r="AC9" s="8" t="str">
        <f>IFERROR(CONCATENATE(Data.[[#This Row],[DNI Ejecutivo]],Data.[[#This Row],[Periodo]]),"")</f>
        <v>4704528746143</v>
      </c>
      <c r="AD9" s="8" t="str">
        <f>IFERROR(VLOOKUP(Data.[[#This Row],[Código LT]],Reportería.[],10,0),"")</f>
        <v/>
      </c>
      <c r="AE9" s="8" t="str">
        <f>IFERROR(VLOOKUP(Data.[[#This Row],[Código LT]],Reportería.[],11,0),"")</f>
        <v/>
      </c>
      <c r="AF9" s="11">
        <v>3007</v>
      </c>
      <c r="AG9" s="11"/>
      <c r="AH9" s="11"/>
      <c r="AI9" s="11">
        <f>IF(TEXT(Data.[[#This Row],[Periodo]],"mmm-yy")="may-26",VLOOKUP(Data.[[#This Row],[Código]],Reportería!A:BV,57,0),0)</f>
        <v>4848</v>
      </c>
      <c r="AJ9" s="11"/>
      <c r="AK9" s="11"/>
      <c r="AL9" s="11">
        <f>IF(Data.[[#This Row],[Vol M0]]="",0,0)</f>
        <v>0</v>
      </c>
      <c r="AM9" s="11">
        <f>IF(Data.[[#This Row],[Vol M0]]="",0,0)</f>
        <v>0</v>
      </c>
      <c r="AN9" s="11">
        <f>IF(Data.[[#This Row],[Vol M0]]="",0,0)</f>
        <v>0</v>
      </c>
      <c r="AO9" s="11">
        <f>IF(Data.[[#This Row],[Vol M0]]="",0,0)</f>
        <v>0</v>
      </c>
      <c r="AP9" s="11">
        <f>IF(Data.[[#This Row],[Vol M0]]="",0,0)</f>
        <v>0</v>
      </c>
      <c r="AQ9" s="11">
        <f>IF(Data.[[#This Row],[Vol M0]]="",0,0)</f>
        <v>0</v>
      </c>
      <c r="AR9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0.16666666666666666</v>
      </c>
    </row>
    <row r="10" spans="1:44" ht="14.25" customHeight="1">
      <c r="A10" s="8" t="str">
        <f>CONCATENATE(Data.[[#This Row],[Código]],Data.[[#This Row],[Ruc]])</f>
        <v>105846020610935932</v>
      </c>
      <c r="B10" s="9">
        <v>46143</v>
      </c>
      <c r="C10" s="8" t="str">
        <f>IFERROR(VLOOKUP(Data.[[#This Row],[Código LT]],Reportería.[],71,0),"")</f>
        <v/>
      </c>
      <c r="D10" s="10">
        <f>IFERROR(VLOOKUP(Data.[[#This Row],[Código]],BV!A:C,2,0),"")</f>
        <v>46154</v>
      </c>
      <c r="E10" s="10">
        <f>IFERROR(VLOOKUP(Data.[[#This Row],[Código]],BV!A:C,3,0),"")</f>
        <v>46161</v>
      </c>
      <c r="F10" s="8">
        <v>1058460</v>
      </c>
      <c r="G10" s="8"/>
      <c r="H10" s="8">
        <v>20610935932</v>
      </c>
      <c r="I10" s="8" t="s">
        <v>50</v>
      </c>
      <c r="J10" s="8" t="s">
        <v>57</v>
      </c>
      <c r="K10" s="8" t="str">
        <f>IF(Data.[[#This Row],[Tipo de Venta]]&lt;&gt;"POS","Atendido",IF(Data.[[#This Row],[Fecha de Instalación]]&lt;&gt;"","Atendido","Ingresado"))</f>
        <v>Atendido</v>
      </c>
      <c r="L10" s="8" t="str">
        <f>Data.[[#This Row],[Estado]]</f>
        <v>Atendido</v>
      </c>
      <c r="M10" s="8" t="s">
        <v>33</v>
      </c>
      <c r="N10" s="8" t="str">
        <f>IFERROR(VLOOKUP(Data.[[#This Row],[Código LT]],Reportería.[],20,0),"")</f>
        <v/>
      </c>
      <c r="O10" s="8" t="str">
        <f>IFERROR(VLOOKUP(Data.[[#This Row],[Código LT]],Reportería.[],5,0),"")</f>
        <v/>
      </c>
      <c r="P10" s="11">
        <f>Data.[[#This Row],[GPV Mensual LT]]/COUNTIFS(H:H,Data.[[#This Row],[Ruc]],B:B,Data.[[#This Row],[Periodo]])</f>
        <v>40000</v>
      </c>
      <c r="Q10" s="11">
        <v>240000</v>
      </c>
      <c r="R10" s="8" t="s">
        <v>52</v>
      </c>
      <c r="S10" s="8" t="str">
        <f>VLOOKUP(Data.[[#This Row],[Ejecutivo]],Productividad!D:N,11,0)</f>
        <v>47045287</v>
      </c>
      <c r="T10" s="50" t="str">
        <f>VLOOKUP(Data.[[#This Row],[DNI Ejecutivo]],Productividad!C:U,8,0)</f>
        <v>asifuentesu@lozapay.com.pe</v>
      </c>
      <c r="U10" s="8" t="str">
        <f>VLOOKUP(Data.[[#This Row],[DNI Ejecutivo]],Productividad!C:U,4,0)</f>
        <v>Elite</v>
      </c>
      <c r="V10" s="8" t="str">
        <f>IFERROR(VLOOKUP(Data.[[#This Row],[DNI Ejecutivo]],Ejecutivos.[],11,0),"")</f>
        <v>Norte Fuentes</v>
      </c>
      <c r="W10" s="8" t="s">
        <v>42</v>
      </c>
      <c r="X10" s="8" t="str" cm="1">
        <f t="array" ref="X10">IFERROR(_xlfn.IFS(Data.[[#This Row],[Supervisor]]="Jonathan Lapoint","Norte",Data.[[#This Row],[Supervisor]]="Jorge Fuentes","Norte"),"Lima")</f>
        <v>Norte</v>
      </c>
      <c r="Y10" s="8" t="str">
        <f>VLOOKUP(Data.[[#This Row],[Supervisor]],Ejecutivos!B:S,17,0)</f>
        <v>70059865</v>
      </c>
      <c r="Z10" s="50" t="str">
        <f>VLOOKUP(Data.[[#This Row],[DNI Supervisor]],Productividad!C:U,8,0)</f>
        <v>jfuentes@lozapay.com.pe</v>
      </c>
      <c r="AA10" s="8"/>
      <c r="AB10" s="8" t="s">
        <v>53</v>
      </c>
      <c r="AC10" s="8" t="str">
        <f>IFERROR(CONCATENATE(Data.[[#This Row],[DNI Ejecutivo]],Data.[[#This Row],[Periodo]]),"")</f>
        <v>4704528746143</v>
      </c>
      <c r="AD10" s="8" t="str">
        <f>IFERROR(VLOOKUP(Data.[[#This Row],[Código LT]],Reportería.[],10,0),"")</f>
        <v/>
      </c>
      <c r="AE10" s="8" t="str">
        <f>IFERROR(VLOOKUP(Data.[[#This Row],[Código LT]],Reportería.[],11,0),"")</f>
        <v/>
      </c>
      <c r="AF10" s="11">
        <v>4045</v>
      </c>
      <c r="AG10" s="11"/>
      <c r="AH10" s="11"/>
      <c r="AI10" s="11">
        <f>IF(TEXT(Data.[[#This Row],[Periodo]],"mmm-yy")="may-26",VLOOKUP(Data.[[#This Row],[Código]],Reportería!A:BV,57,0),0)</f>
        <v>8115.3000000000011</v>
      </c>
      <c r="AJ10" s="11"/>
      <c r="AK10" s="11"/>
      <c r="AL10" s="11">
        <f>IF(Data.[[#This Row],[Vol M0]]="",0,0)</f>
        <v>0</v>
      </c>
      <c r="AM10" s="11">
        <f>IF(Data.[[#This Row],[Vol M0]]="",0,0)</f>
        <v>0</v>
      </c>
      <c r="AN10" s="11">
        <f>IF(Data.[[#This Row],[Vol M0]]="",0,0)</f>
        <v>0</v>
      </c>
      <c r="AO10" s="11">
        <f>IF(Data.[[#This Row],[Vol M0]]="",0,0)</f>
        <v>0</v>
      </c>
      <c r="AP10" s="11">
        <f>IF(Data.[[#This Row],[Vol M0]]="",0,0)</f>
        <v>0</v>
      </c>
      <c r="AQ10" s="11">
        <f>IF(Data.[[#This Row],[Vol M0]]="",0,0)</f>
        <v>0</v>
      </c>
      <c r="AR10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0.16666666666666666</v>
      </c>
    </row>
    <row r="11" spans="1:44" ht="14.25" customHeight="1">
      <c r="A11" s="8" t="str">
        <f>CONCATENATE(Data.[[#This Row],[Código]],Data.[[#This Row],[Ruc]])</f>
        <v>105846220610935932</v>
      </c>
      <c r="B11" s="9">
        <v>46143</v>
      </c>
      <c r="C11" s="8" t="str">
        <f>IFERROR(VLOOKUP(Data.[[#This Row],[Código LT]],Reportería.[],71,0),"")</f>
        <v/>
      </c>
      <c r="D11" s="10">
        <f>IFERROR(VLOOKUP(Data.[[#This Row],[Código]],BV!A:C,2,0),"")</f>
        <v>46154</v>
      </c>
      <c r="E11" s="10">
        <f>IFERROR(VLOOKUP(Data.[[#This Row],[Código]],BV!A:C,3,0),"")</f>
        <v>46161</v>
      </c>
      <c r="F11" s="8">
        <v>1058462</v>
      </c>
      <c r="G11" s="8"/>
      <c r="H11" s="8">
        <v>20610935932</v>
      </c>
      <c r="I11" s="8" t="s">
        <v>50</v>
      </c>
      <c r="J11" s="8" t="s">
        <v>58</v>
      </c>
      <c r="K11" s="8" t="str">
        <f>IF(Data.[[#This Row],[Tipo de Venta]]&lt;&gt;"POS","Atendido",IF(Data.[[#This Row],[Fecha de Instalación]]&lt;&gt;"","Atendido","Ingresado"))</f>
        <v>Atendido</v>
      </c>
      <c r="L11" s="8" t="str">
        <f>Data.[[#This Row],[Estado]]</f>
        <v>Atendido</v>
      </c>
      <c r="M11" s="8" t="s">
        <v>33</v>
      </c>
      <c r="N11" s="8" t="str">
        <f>IFERROR(VLOOKUP(Data.[[#This Row],[Código LT]],Reportería.[],20,0),"")</f>
        <v/>
      </c>
      <c r="O11" s="8" t="str">
        <f>IFERROR(VLOOKUP(Data.[[#This Row],[Código LT]],Reportería.[],5,0),"")</f>
        <v/>
      </c>
      <c r="P11" s="11">
        <f>Data.[[#This Row],[GPV Mensual LT]]/COUNTIFS(H:H,Data.[[#This Row],[Ruc]],B:B,Data.[[#This Row],[Periodo]])</f>
        <v>40000</v>
      </c>
      <c r="Q11" s="11">
        <v>240000</v>
      </c>
      <c r="R11" s="8" t="s">
        <v>52</v>
      </c>
      <c r="S11" s="8" t="str">
        <f>VLOOKUP(Data.[[#This Row],[Ejecutivo]],Productividad!D:N,11,0)</f>
        <v>47045287</v>
      </c>
      <c r="T11" s="50" t="str">
        <f>VLOOKUP(Data.[[#This Row],[DNI Ejecutivo]],Productividad!C:U,8,0)</f>
        <v>asifuentesu@lozapay.com.pe</v>
      </c>
      <c r="U11" s="8" t="str">
        <f>VLOOKUP(Data.[[#This Row],[DNI Ejecutivo]],Productividad!C:U,4,0)</f>
        <v>Elite</v>
      </c>
      <c r="V11" s="8" t="str">
        <f>IFERROR(VLOOKUP(Data.[[#This Row],[DNI Ejecutivo]],Ejecutivos.[],11,0),"")</f>
        <v>Norte Fuentes</v>
      </c>
      <c r="W11" s="8" t="s">
        <v>42</v>
      </c>
      <c r="X11" s="8" t="str" cm="1">
        <f t="array" ref="X11">IFERROR(_xlfn.IFS(Data.[[#This Row],[Supervisor]]="Jonathan Lapoint","Norte",Data.[[#This Row],[Supervisor]]="Jorge Fuentes","Norte"),"Lima")</f>
        <v>Norte</v>
      </c>
      <c r="Y11" s="8" t="str">
        <f>VLOOKUP(Data.[[#This Row],[Supervisor]],Ejecutivos!B:S,17,0)</f>
        <v>70059865</v>
      </c>
      <c r="Z11" s="50" t="str">
        <f>VLOOKUP(Data.[[#This Row],[DNI Supervisor]],Productividad!C:U,8,0)</f>
        <v>jfuentes@lozapay.com.pe</v>
      </c>
      <c r="AA11" s="8"/>
      <c r="AB11" s="8" t="s">
        <v>53</v>
      </c>
      <c r="AC11" s="8" t="str">
        <f>IFERROR(CONCATENATE(Data.[[#This Row],[DNI Ejecutivo]],Data.[[#This Row],[Periodo]]),"")</f>
        <v>4704528746143</v>
      </c>
      <c r="AD11" s="8" t="str">
        <f>IFERROR(VLOOKUP(Data.[[#This Row],[Código LT]],Reportería.[],10,0),"")</f>
        <v/>
      </c>
      <c r="AE11" s="8" t="str">
        <f>IFERROR(VLOOKUP(Data.[[#This Row],[Código LT]],Reportería.[],11,0),"")</f>
        <v/>
      </c>
      <c r="AF11" s="11">
        <v>2733</v>
      </c>
      <c r="AG11" s="11"/>
      <c r="AH11" s="11"/>
      <c r="AI11" s="11">
        <f>IF(TEXT(Data.[[#This Row],[Periodo]],"mmm-yy")="may-26",VLOOKUP(Data.[[#This Row],[Código]],Reportería!A:BV,57,0),0)</f>
        <v>3942</v>
      </c>
      <c r="AJ11" s="11"/>
      <c r="AK11" s="11"/>
      <c r="AL11" s="11">
        <f>IF(Data.[[#This Row],[Vol M0]]="",0,0)</f>
        <v>0</v>
      </c>
      <c r="AM11" s="11">
        <f>IF(Data.[[#This Row],[Vol M0]]="",0,0)</f>
        <v>0</v>
      </c>
      <c r="AN11" s="11">
        <f>IF(Data.[[#This Row],[Vol M0]]="",0,0)</f>
        <v>0</v>
      </c>
      <c r="AO11" s="11">
        <f>IF(Data.[[#This Row],[Vol M0]]="",0,0)</f>
        <v>0</v>
      </c>
      <c r="AP11" s="11">
        <f>IF(Data.[[#This Row],[Vol M0]]="",0,0)</f>
        <v>0</v>
      </c>
      <c r="AQ11" s="11">
        <f>IF(Data.[[#This Row],[Vol M0]]="",0,0)</f>
        <v>0</v>
      </c>
      <c r="AR11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0.16666666666666666</v>
      </c>
    </row>
    <row r="12" spans="1:44" ht="14.25" customHeight="1">
      <c r="A12" s="8" t="str">
        <f>CONCATENATE(Data.[[#This Row],[Código]],Data.[[#This Row],[Ruc]])</f>
        <v>594683820615538222</v>
      </c>
      <c r="B12" s="9">
        <v>46143</v>
      </c>
      <c r="C12" s="8" t="str">
        <f>IFERROR(VLOOKUP(Data.[[#This Row],[Código LT]],Reportería.[],71,0),"")</f>
        <v/>
      </c>
      <c r="D12" s="10">
        <f>IFERROR(VLOOKUP(Data.[[#This Row],[Código]],BV!A:C,2,0),"")</f>
        <v>46154</v>
      </c>
      <c r="E12" s="10">
        <f>IFERROR(VLOOKUP(Data.[[#This Row],[Código]],BV!A:C,3,0),"")</f>
        <v>46155</v>
      </c>
      <c r="F12" s="8">
        <v>5946838</v>
      </c>
      <c r="G12" s="8" t="s">
        <v>60</v>
      </c>
      <c r="H12" s="8">
        <v>20615538222</v>
      </c>
      <c r="I12" s="8" t="s">
        <v>61</v>
      </c>
      <c r="J12" s="8" t="s">
        <v>62</v>
      </c>
      <c r="K12" s="8" t="str">
        <f>IF(Data.[[#This Row],[Tipo de Venta]]&lt;&gt;"POS","Atendido",IF(Data.[[#This Row],[Fecha de Instalación]]&lt;&gt;"","Atendido","Ingresado"))</f>
        <v>Atendido</v>
      </c>
      <c r="L12" s="8" t="str">
        <f>Data.[[#This Row],[Estado]]</f>
        <v>Atendido</v>
      </c>
      <c r="M12" s="8" t="s">
        <v>33</v>
      </c>
      <c r="N12" s="8" t="str">
        <f>IFERROR(VLOOKUP(Data.[[#This Row],[Código LT]],Reportería.[],20,0),"")</f>
        <v/>
      </c>
      <c r="O12" s="8" t="str">
        <f>IFERROR(VLOOKUP(Data.[[#This Row],[Código LT]],Reportería.[],5,0),"")</f>
        <v/>
      </c>
      <c r="P12" s="11">
        <f>Data.[[#This Row],[GPV Mensual LT]]/COUNTIFS(H:H,Data.[[#This Row],[Ruc]],B:B,Data.[[#This Row],[Periodo]])</f>
        <v>27000</v>
      </c>
      <c r="Q12" s="11">
        <v>27000</v>
      </c>
      <c r="R12" s="8" t="s">
        <v>63</v>
      </c>
      <c r="S12" s="8" t="str">
        <f>VLOOKUP(Data.[[#This Row],[Ejecutivo]],Productividad!D:N,11,0)</f>
        <v>70151010</v>
      </c>
      <c r="T12" s="50" t="str">
        <f>VLOOKUP(Data.[[#This Row],[DNI Ejecutivo]],Productividad!C:U,8,0)</f>
        <v>richard.benites@lozapay.com.pe</v>
      </c>
      <c r="U12" s="8" t="str">
        <f>VLOOKUP(Data.[[#This Row],[DNI Ejecutivo]],Productividad!C:U,4,0)</f>
        <v>Hunter</v>
      </c>
      <c r="V12" s="8" t="str">
        <f>IFERROR(VLOOKUP(Data.[[#This Row],[DNI Ejecutivo]],Ejecutivos.[],11,0),"")</f>
        <v>Lima Jean</v>
      </c>
      <c r="W12" s="8" t="s">
        <v>64</v>
      </c>
      <c r="X12" s="8" t="str" cm="1">
        <f t="array" ref="X12">IFERROR(_xlfn.IFS(Data.[[#This Row],[Supervisor]]="Jonathan Lapoint","Norte",Data.[[#This Row],[Supervisor]]="Jorge Fuentes","Norte"),"Lima")</f>
        <v>Lima</v>
      </c>
      <c r="Y12" s="8" t="str">
        <f>VLOOKUP(Data.[[#This Row],[Supervisor]],Ejecutivos!B:S,17,0)</f>
        <v>47688341</v>
      </c>
      <c r="Z12" s="50" t="str">
        <f>VLOOKUP(Data.[[#This Row],[DNI Supervisor]],Productividad!C:U,8,0)</f>
        <v>jaguilar@lozapay.com.pe</v>
      </c>
      <c r="AA12" s="8"/>
      <c r="AB12" s="8" t="s">
        <v>65</v>
      </c>
      <c r="AC12" s="8" t="str">
        <f>IFERROR(CONCATENATE(Data.[[#This Row],[DNI Ejecutivo]],Data.[[#This Row],[Periodo]]),"")</f>
        <v>7015101046143</v>
      </c>
      <c r="AD12" s="8" t="str">
        <f>IFERROR(VLOOKUP(Data.[[#This Row],[Código LT]],Reportería.[],10,0),"")</f>
        <v/>
      </c>
      <c r="AE12" s="8" t="str">
        <f>IFERROR(VLOOKUP(Data.[[#This Row],[Código LT]],Reportería.[],11,0),"")</f>
        <v/>
      </c>
      <c r="AF12" s="11">
        <v>0</v>
      </c>
      <c r="AG12" s="11"/>
      <c r="AH12" s="11"/>
      <c r="AI12" s="11">
        <f>IF(TEXT(Data.[[#This Row],[Periodo]],"mmm-yy")="may-26",VLOOKUP(Data.[[#This Row],[Código]],Reportería!A:BV,57,0),0)</f>
        <v>1000</v>
      </c>
      <c r="AJ12" s="11"/>
      <c r="AK12" s="11"/>
      <c r="AL12" s="11">
        <f>IF(Data.[[#This Row],[Vol M0]]="",0,0)</f>
        <v>0</v>
      </c>
      <c r="AM12" s="11">
        <f>IF(Data.[[#This Row],[Vol M0]]="",0,0)</f>
        <v>0</v>
      </c>
      <c r="AN12" s="11">
        <f>IF(Data.[[#This Row],[Vol M0]]="",0,0)</f>
        <v>0</v>
      </c>
      <c r="AO12" s="11">
        <f>IF(Data.[[#This Row],[Vol M0]]="",0,0)</f>
        <v>0</v>
      </c>
      <c r="AP12" s="11">
        <f>IF(Data.[[#This Row],[Vol M0]]="",0,0)</f>
        <v>0</v>
      </c>
      <c r="AQ12" s="11">
        <f>IF(Data.[[#This Row],[Vol M0]]="",0,0)</f>
        <v>0</v>
      </c>
      <c r="AR12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3" spans="1:44" ht="14.25" customHeight="1">
      <c r="A13" s="8" t="str">
        <f>CONCATENATE(Data.[[#This Row],[Código]],Data.[[#This Row],[Ruc]])</f>
        <v>594682710413980076</v>
      </c>
      <c r="B13" s="9">
        <v>46143</v>
      </c>
      <c r="C13" s="8" t="str">
        <f>IFERROR(VLOOKUP(Data.[[#This Row],[Código LT]],Reportería.[],71,0),"")</f>
        <v/>
      </c>
      <c r="D13" s="10">
        <f>IFERROR(VLOOKUP(Data.[[#This Row],[Código]],BV!A:C,2,0),"")</f>
        <v>46154</v>
      </c>
      <c r="E13" s="10">
        <f>IFERROR(VLOOKUP(Data.[[#This Row],[Código]],BV!A:C,3,0),"")</f>
        <v>46155</v>
      </c>
      <c r="F13" s="8">
        <v>5946827</v>
      </c>
      <c r="G13" s="8" t="s">
        <v>66</v>
      </c>
      <c r="H13" s="8">
        <v>10413980076</v>
      </c>
      <c r="I13" s="8" t="s">
        <v>67</v>
      </c>
      <c r="J13" s="8" t="s">
        <v>68</v>
      </c>
      <c r="K13" s="8" t="str">
        <f>IF(Data.[[#This Row],[Tipo de Venta]]&lt;&gt;"POS","Atendido",IF(Data.[[#This Row],[Fecha de Instalación]]&lt;&gt;"","Atendido","Ingresado"))</f>
        <v>Atendido</v>
      </c>
      <c r="L13" s="8" t="str">
        <f>Data.[[#This Row],[Estado]]</f>
        <v>Atendido</v>
      </c>
      <c r="M13" s="8" t="s">
        <v>33</v>
      </c>
      <c r="N13" s="8" t="str">
        <f>IFERROR(VLOOKUP(Data.[[#This Row],[Código LT]],Reportería.[],20,0),"")</f>
        <v/>
      </c>
      <c r="O13" s="8" t="str">
        <f>IFERROR(VLOOKUP(Data.[[#This Row],[Código LT]],Reportería.[],5,0),"")</f>
        <v/>
      </c>
      <c r="P13" s="11">
        <f>Data.[[#This Row],[GPV Mensual LT]]/COUNTIFS(H:H,Data.[[#This Row],[Ruc]],B:B,Data.[[#This Row],[Periodo]])</f>
        <v>25000</v>
      </c>
      <c r="Q13" s="11">
        <v>25000</v>
      </c>
      <c r="R13" s="8" t="s">
        <v>69</v>
      </c>
      <c r="S13" s="8" t="str">
        <f>VLOOKUP(Data.[[#This Row],[Ejecutivo]],Productividad!D:N,11,0)</f>
        <v>41309076</v>
      </c>
      <c r="T13" s="50" t="str">
        <f>VLOOKUP(Data.[[#This Row],[DNI Ejecutivo]],Productividad!C:U,8,0)</f>
        <v>jonathan.lavado@lozapay.com.pe</v>
      </c>
      <c r="U13" s="8" t="str">
        <f>VLOOKUP(Data.[[#This Row],[DNI Ejecutivo]],Productividad!C:U,4,0)</f>
        <v>Hunter</v>
      </c>
      <c r="V13" s="8" t="str">
        <f>IFERROR(VLOOKUP(Data.[[#This Row],[DNI Ejecutivo]],Ejecutivos.[],11,0),"")</f>
        <v>Lima Jean</v>
      </c>
      <c r="W13" s="8" t="s">
        <v>64</v>
      </c>
      <c r="X13" s="8" t="str" cm="1">
        <f t="array" ref="X13">IFERROR(_xlfn.IFS(Data.[[#This Row],[Supervisor]]="Jonathan Lapoint","Norte",Data.[[#This Row],[Supervisor]]="Jorge Fuentes","Norte"),"Lima")</f>
        <v>Lima</v>
      </c>
      <c r="Y13" s="8" t="str">
        <f>VLOOKUP(Data.[[#This Row],[Supervisor]],Ejecutivos!B:S,17,0)</f>
        <v>47688341</v>
      </c>
      <c r="Z13" s="50" t="str">
        <f>VLOOKUP(Data.[[#This Row],[DNI Supervisor]],Productividad!C:U,8,0)</f>
        <v>jaguilar@lozapay.com.pe</v>
      </c>
      <c r="AA13" s="8"/>
      <c r="AB13" s="8" t="s">
        <v>70</v>
      </c>
      <c r="AC13" s="8" t="str">
        <f>IFERROR(CONCATENATE(Data.[[#This Row],[DNI Ejecutivo]],Data.[[#This Row],[Periodo]]),"")</f>
        <v>4130907646143</v>
      </c>
      <c r="AD13" s="8" t="str">
        <f>IFERROR(VLOOKUP(Data.[[#This Row],[Código LT]],Reportería.[],10,0),"")</f>
        <v/>
      </c>
      <c r="AE13" s="8" t="str">
        <f>IFERROR(VLOOKUP(Data.[[#This Row],[Código LT]],Reportería.[],11,0),"")</f>
        <v/>
      </c>
      <c r="AF13" s="11">
        <v>486</v>
      </c>
      <c r="AG13" s="11"/>
      <c r="AH13" s="11"/>
      <c r="AI13" s="11">
        <f>IF(TEXT(Data.[[#This Row],[Periodo]],"mmm-yy")="may-26",VLOOKUP(Data.[[#This Row],[Código]],Reportería!A:BV,57,0),0)</f>
        <v>976</v>
      </c>
      <c r="AJ13" s="11"/>
      <c r="AK13" s="11"/>
      <c r="AL13" s="11">
        <f>IF(Data.[[#This Row],[Vol M0]]="",0,0)</f>
        <v>0</v>
      </c>
      <c r="AM13" s="11">
        <f>IF(Data.[[#This Row],[Vol M0]]="",0,0)</f>
        <v>0</v>
      </c>
      <c r="AN13" s="11">
        <f>IF(Data.[[#This Row],[Vol M0]]="",0,0)</f>
        <v>0</v>
      </c>
      <c r="AO13" s="11">
        <f>IF(Data.[[#This Row],[Vol M0]]="",0,0)</f>
        <v>0</v>
      </c>
      <c r="AP13" s="11">
        <f>IF(Data.[[#This Row],[Vol M0]]="",0,0)</f>
        <v>0</v>
      </c>
      <c r="AQ13" s="11">
        <f>IF(Data.[[#This Row],[Vol M0]]="",0,0)</f>
        <v>0</v>
      </c>
      <c r="AR13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4" spans="1:44" ht="14.25" customHeight="1">
      <c r="A14" s="8" t="str">
        <f>CONCATENATE(Data.[[#This Row],[Código]],Data.[[#This Row],[Ruc]])</f>
        <v>594764920614514338</v>
      </c>
      <c r="B14" s="9">
        <v>46143</v>
      </c>
      <c r="C14" s="8" t="str">
        <f>IFERROR(VLOOKUP(Data.[[#This Row],[Código LT]],Reportería.[],71,0),"")</f>
        <v/>
      </c>
      <c r="D14" s="10">
        <f>IFERROR(VLOOKUP(Data.[[#This Row],[Código]],BV!A:C,2,0),"")</f>
        <v>46156</v>
      </c>
      <c r="E14" s="10">
        <f>IFERROR(VLOOKUP(Data.[[#This Row],[Código]],BV!A:C,3,0),"")</f>
        <v>46157</v>
      </c>
      <c r="F14" s="8">
        <v>5947649</v>
      </c>
      <c r="G14" s="8" t="s">
        <v>71</v>
      </c>
      <c r="H14" s="8">
        <v>20614514338</v>
      </c>
      <c r="I14" s="8" t="s">
        <v>72</v>
      </c>
      <c r="J14" s="8" t="s">
        <v>73</v>
      </c>
      <c r="K14" s="8" t="str">
        <f>IF(Data.[[#This Row],[Tipo de Venta]]&lt;&gt;"POS","Atendido",IF(Data.[[#This Row],[Fecha de Instalación]]&lt;&gt;"","Atendido","Ingresado"))</f>
        <v>Atendido</v>
      </c>
      <c r="L14" s="8" t="str">
        <f>Data.[[#This Row],[Estado]]</f>
        <v>Atendido</v>
      </c>
      <c r="M14" s="8" t="s">
        <v>33</v>
      </c>
      <c r="N14" s="8" t="str">
        <f>IFERROR(VLOOKUP(Data.[[#This Row],[Código LT]],Reportería.[],20,0),"")</f>
        <v/>
      </c>
      <c r="O14" s="8" t="str">
        <f>IFERROR(VLOOKUP(Data.[[#This Row],[Código LT]],Reportería.[],5,0),"")</f>
        <v/>
      </c>
      <c r="P14" s="11">
        <f>Data.[[#This Row],[GPV Mensual LT]]/COUNTIFS(H:H,Data.[[#This Row],[Ruc]],B:B,Data.[[#This Row],[Periodo]])</f>
        <v>25000</v>
      </c>
      <c r="Q14" s="11">
        <v>50000</v>
      </c>
      <c r="R14" s="8" t="s">
        <v>74</v>
      </c>
      <c r="S14" s="8" t="str">
        <f>VLOOKUP(Data.[[#This Row],[Ejecutivo]],Productividad!D:N,11,0)</f>
        <v>45311691</v>
      </c>
      <c r="T14" s="50" t="str">
        <f>VLOOKUP(Data.[[#This Row],[DNI Ejecutivo]],Productividad!C:U,8,0)</f>
        <v>edinson.chuyes@lozapay.com.pe</v>
      </c>
      <c r="U14" s="8" t="str">
        <f>VLOOKUP(Data.[[#This Row],[DNI Ejecutivo]],Productividad!C:U,4,0)</f>
        <v>Elite</v>
      </c>
      <c r="V14" s="8" t="str">
        <f>IFERROR(VLOOKUP(Data.[[#This Row],[DNI Ejecutivo]],Ejecutivos.[],11,0),"")</f>
        <v>Lima Jean</v>
      </c>
      <c r="W14" s="8" t="s">
        <v>64</v>
      </c>
      <c r="X14" s="8" t="str" cm="1">
        <f t="array" ref="X14">IFERROR(_xlfn.IFS(Data.[[#This Row],[Supervisor]]="Jonathan Lapoint","Norte",Data.[[#This Row],[Supervisor]]="Jorge Fuentes","Norte"),"Lima")</f>
        <v>Lima</v>
      </c>
      <c r="Y14" s="8" t="str">
        <f>VLOOKUP(Data.[[#This Row],[Supervisor]],Ejecutivos!B:S,17,0)</f>
        <v>47688341</v>
      </c>
      <c r="Z14" s="50" t="str">
        <f>VLOOKUP(Data.[[#This Row],[DNI Supervisor]],Productividad!C:U,8,0)</f>
        <v>jaguilar@lozapay.com.pe</v>
      </c>
      <c r="AA14" s="8"/>
      <c r="AB14" s="8" t="s">
        <v>53</v>
      </c>
      <c r="AC14" s="8" t="str">
        <f>IFERROR(CONCATENATE(Data.[[#This Row],[DNI Ejecutivo]],Data.[[#This Row],[Periodo]]),"")</f>
        <v>4531169146143</v>
      </c>
      <c r="AD14" s="8" t="str">
        <f>IFERROR(VLOOKUP(Data.[[#This Row],[Código LT]],Reportería.[],10,0),"")</f>
        <v/>
      </c>
      <c r="AE14" s="8" t="str">
        <f>IFERROR(VLOOKUP(Data.[[#This Row],[Código LT]],Reportería.[],11,0),"")</f>
        <v/>
      </c>
      <c r="AF14" s="11">
        <v>21455.5</v>
      </c>
      <c r="AG14" s="11"/>
      <c r="AH14" s="11"/>
      <c r="AI14" s="11">
        <f>IF(TEXT(Data.[[#This Row],[Periodo]],"mmm-yy")="may-26",VLOOKUP(Data.[[#This Row],[Código]],Reportería!A:BV,57,0),0)</f>
        <v>14201.5</v>
      </c>
      <c r="AJ14" s="11"/>
      <c r="AK14" s="11"/>
      <c r="AL14" s="11">
        <f>IF(Data.[[#This Row],[Vol M0]]="",0,0)</f>
        <v>0</v>
      </c>
      <c r="AM14" s="11">
        <f>IF(Data.[[#This Row],[Vol M0]]="",0,0)</f>
        <v>0</v>
      </c>
      <c r="AN14" s="11">
        <f>IF(Data.[[#This Row],[Vol M0]]="",0,0)</f>
        <v>0</v>
      </c>
      <c r="AO14" s="11">
        <f>IF(Data.[[#This Row],[Vol M0]]="",0,0)</f>
        <v>0</v>
      </c>
      <c r="AP14" s="11">
        <f>IF(Data.[[#This Row],[Vol M0]]="",0,0)</f>
        <v>0</v>
      </c>
      <c r="AQ14" s="11">
        <f>IF(Data.[[#This Row],[Vol M0]]="",0,0)</f>
        <v>0</v>
      </c>
      <c r="AR14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0.5</v>
      </c>
    </row>
    <row r="15" spans="1:44" ht="14.25" customHeight="1">
      <c r="A15" s="8" t="str">
        <f>CONCATENATE(Data.[[#This Row],[Código]],Data.[[#This Row],[Ruc]])</f>
        <v>594779320614514338</v>
      </c>
      <c r="B15" s="9">
        <v>46143</v>
      </c>
      <c r="C15" s="8" t="str">
        <f>IFERROR(VLOOKUP(Data.[[#This Row],[Código LT]],Reportería.[],71,0),"")</f>
        <v/>
      </c>
      <c r="D15" s="10">
        <f>IFERROR(VLOOKUP(Data.[[#This Row],[Código]],BV!A:C,2,0),"")</f>
        <v>46156</v>
      </c>
      <c r="E15" s="10">
        <f>IFERROR(VLOOKUP(Data.[[#This Row],[Código]],BV!A:C,3,0),"")</f>
        <v>46160</v>
      </c>
      <c r="F15" s="8">
        <v>5947793</v>
      </c>
      <c r="G15" s="8" t="s">
        <v>75</v>
      </c>
      <c r="H15" s="8">
        <v>20614514338</v>
      </c>
      <c r="I15" s="8" t="s">
        <v>72</v>
      </c>
      <c r="J15" s="8" t="s">
        <v>76</v>
      </c>
      <c r="K15" s="8" t="str">
        <f>IF(Data.[[#This Row],[Tipo de Venta]]&lt;&gt;"POS","Atendido",IF(Data.[[#This Row],[Fecha de Instalación]]&lt;&gt;"","Atendido","Ingresado"))</f>
        <v>Atendido</v>
      </c>
      <c r="L15" s="8" t="str">
        <f>Data.[[#This Row],[Estado]]</f>
        <v>Atendido</v>
      </c>
      <c r="M15" s="8" t="s">
        <v>33</v>
      </c>
      <c r="N15" s="8" t="str">
        <f>IFERROR(VLOOKUP(Data.[[#This Row],[Código LT]],Reportería.[],20,0),"")</f>
        <v/>
      </c>
      <c r="O15" s="8" t="str">
        <f>IFERROR(VLOOKUP(Data.[[#This Row],[Código LT]],Reportería.[],5,0),"")</f>
        <v/>
      </c>
      <c r="P15" s="11">
        <f>Data.[[#This Row],[GPV Mensual LT]]/COUNTIFS(H:H,Data.[[#This Row],[Ruc]],B:B,Data.[[#This Row],[Periodo]])</f>
        <v>25000</v>
      </c>
      <c r="Q15" s="11">
        <v>50000</v>
      </c>
      <c r="R15" s="8" t="s">
        <v>74</v>
      </c>
      <c r="S15" s="8" t="str">
        <f>VLOOKUP(Data.[[#This Row],[Ejecutivo]],Productividad!D:N,11,0)</f>
        <v>45311691</v>
      </c>
      <c r="T15" s="50" t="str">
        <f>VLOOKUP(Data.[[#This Row],[DNI Ejecutivo]],Productividad!C:U,8,0)</f>
        <v>edinson.chuyes@lozapay.com.pe</v>
      </c>
      <c r="U15" s="8" t="str">
        <f>VLOOKUP(Data.[[#This Row],[DNI Ejecutivo]],Productividad!C:U,4,0)</f>
        <v>Elite</v>
      </c>
      <c r="V15" s="8" t="str">
        <f>IFERROR(VLOOKUP(Data.[[#This Row],[DNI Ejecutivo]],Ejecutivos.[],11,0),"")</f>
        <v>Lima Jean</v>
      </c>
      <c r="W15" s="8" t="s">
        <v>64</v>
      </c>
      <c r="X15" s="8" t="str" cm="1">
        <f t="array" ref="X15">IFERROR(_xlfn.IFS(Data.[[#This Row],[Supervisor]]="Jonathan Lapoint","Norte",Data.[[#This Row],[Supervisor]]="Jorge Fuentes","Norte"),"Lima")</f>
        <v>Lima</v>
      </c>
      <c r="Y15" s="8" t="str">
        <f>VLOOKUP(Data.[[#This Row],[Supervisor]],Ejecutivos!B:S,17,0)</f>
        <v>47688341</v>
      </c>
      <c r="Z15" s="50" t="str">
        <f>VLOOKUP(Data.[[#This Row],[DNI Supervisor]],Productividad!C:U,8,0)</f>
        <v>jaguilar@lozapay.com.pe</v>
      </c>
      <c r="AA15" s="8"/>
      <c r="AB15" s="8" t="s">
        <v>53</v>
      </c>
      <c r="AC15" s="8" t="str">
        <f>IFERROR(CONCATENATE(Data.[[#This Row],[DNI Ejecutivo]],Data.[[#This Row],[Periodo]]),"")</f>
        <v>4531169146143</v>
      </c>
      <c r="AD15" s="8" t="str">
        <f>IFERROR(VLOOKUP(Data.[[#This Row],[Código LT]],Reportería.[],10,0),"")</f>
        <v/>
      </c>
      <c r="AE15" s="8" t="str">
        <f>IFERROR(VLOOKUP(Data.[[#This Row],[Código LT]],Reportería.[],11,0),"")</f>
        <v/>
      </c>
      <c r="AF15" s="11">
        <v>14455</v>
      </c>
      <c r="AG15" s="11"/>
      <c r="AH15" s="11"/>
      <c r="AI15" s="11">
        <f>IF(TEXT(Data.[[#This Row],[Periodo]],"mmm-yy")="may-26",VLOOKUP(Data.[[#This Row],[Código]],Reportería!A:BV,57,0),0)</f>
        <v>12849.5</v>
      </c>
      <c r="AJ15" s="11"/>
      <c r="AK15" s="11"/>
      <c r="AL15" s="11">
        <f>IF(Data.[[#This Row],[Vol M0]]="",0,0)</f>
        <v>0</v>
      </c>
      <c r="AM15" s="11">
        <f>IF(Data.[[#This Row],[Vol M0]]="",0,0)</f>
        <v>0</v>
      </c>
      <c r="AN15" s="11">
        <f>IF(Data.[[#This Row],[Vol M0]]="",0,0)</f>
        <v>0</v>
      </c>
      <c r="AO15" s="11">
        <f>IF(Data.[[#This Row],[Vol M0]]="",0,0)</f>
        <v>0</v>
      </c>
      <c r="AP15" s="11">
        <f>IF(Data.[[#This Row],[Vol M0]]="",0,0)</f>
        <v>0</v>
      </c>
      <c r="AQ15" s="11">
        <f>IF(Data.[[#This Row],[Vol M0]]="",0,0)</f>
        <v>0</v>
      </c>
      <c r="AR15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0.5</v>
      </c>
    </row>
    <row r="16" spans="1:44" ht="14.25" customHeight="1">
      <c r="A16" s="8" t="str">
        <f>CONCATENATE(Data.[[#This Row],[Código]],Data.[[#This Row],[Ruc]])</f>
        <v>594765120612598780</v>
      </c>
      <c r="B16" s="9">
        <v>46143</v>
      </c>
      <c r="C16" s="8" t="str">
        <f>IFERROR(VLOOKUP(Data.[[#This Row],[Código LT]],Reportería.[],71,0),"")</f>
        <v/>
      </c>
      <c r="D16" s="10">
        <f>IFERROR(VLOOKUP(Data.[[#This Row],[Código]],BV!A:C,2,0),"")</f>
        <v>46157</v>
      </c>
      <c r="E16" s="10">
        <f>IFERROR(VLOOKUP(Data.[[#This Row],[Código]],BV!A:C,3,0),"")</f>
        <v>46160</v>
      </c>
      <c r="F16" s="8">
        <v>5947651</v>
      </c>
      <c r="G16" s="8" t="s">
        <v>77</v>
      </c>
      <c r="H16" s="8">
        <v>20612598780</v>
      </c>
      <c r="I16" s="8" t="s">
        <v>78</v>
      </c>
      <c r="J16" s="8" t="s">
        <v>79</v>
      </c>
      <c r="K16" s="8" t="str">
        <f>IF(Data.[[#This Row],[Tipo de Venta]]&lt;&gt;"POS","Atendido",IF(Data.[[#This Row],[Fecha de Instalación]]&lt;&gt;"","Atendido","Ingresado"))</f>
        <v>Atendido</v>
      </c>
      <c r="L16" s="8" t="str">
        <f>Data.[[#This Row],[Estado]]</f>
        <v>Atendido</v>
      </c>
      <c r="M16" s="8" t="s">
        <v>33</v>
      </c>
      <c r="N16" s="8" t="str">
        <f>IFERROR(VLOOKUP(Data.[[#This Row],[Código LT]],Reportería.[],20,0),"")</f>
        <v/>
      </c>
      <c r="O16" s="8" t="str">
        <f>IFERROR(VLOOKUP(Data.[[#This Row],[Código LT]],Reportería.[],5,0),"")</f>
        <v/>
      </c>
      <c r="P16" s="11">
        <f>Data.[[#This Row],[GPV Mensual LT]]/COUNTIFS(H:H,Data.[[#This Row],[Ruc]],B:B,Data.[[#This Row],[Periodo]])</f>
        <v>90000</v>
      </c>
      <c r="Q16" s="11">
        <v>180000</v>
      </c>
      <c r="R16" s="8" t="s">
        <v>80</v>
      </c>
      <c r="S16" s="8" t="str">
        <f>VLOOKUP(Data.[[#This Row],[Ejecutivo]],Productividad!D:N,11,0)</f>
        <v>46998250</v>
      </c>
      <c r="T16" s="50" t="str">
        <f>VLOOKUP(Data.[[#This Row],[DNI Ejecutivo]],Productividad!C:U,8,0)</f>
        <v>mgodoyc@lozapay.com.pe</v>
      </c>
      <c r="U16" s="8" t="str">
        <f>VLOOKUP(Data.[[#This Row],[DNI Ejecutivo]],Productividad!C:U,4,0)</f>
        <v>Elite</v>
      </c>
      <c r="V16" s="8" t="str">
        <f>IFERROR(VLOOKUP(Data.[[#This Row],[DNI Ejecutivo]],Ejecutivos.[],11,0),"")</f>
        <v>Lima Palomino</v>
      </c>
      <c r="W16" s="8" t="s">
        <v>35</v>
      </c>
      <c r="X16" s="8" t="str" cm="1">
        <f t="array" ref="X16">IFERROR(_xlfn.IFS(Data.[[#This Row],[Supervisor]]="Jonathan Lapoint","Norte",Data.[[#This Row],[Supervisor]]="Jorge Fuentes","Norte"),"Lima")</f>
        <v>Lima</v>
      </c>
      <c r="Y16" s="8" t="str">
        <f>VLOOKUP(Data.[[#This Row],[Supervisor]],Ejecutivos!B:S,17,0)</f>
        <v>41718975</v>
      </c>
      <c r="Z16" s="50" t="str">
        <f>VLOOKUP(Data.[[#This Row],[DNI Supervisor]],Productividad!C:U,8,0)</f>
        <v>carlos.palomino@lozapay.com.pe</v>
      </c>
      <c r="AA16" s="8"/>
      <c r="AB16" s="8" t="s">
        <v>81</v>
      </c>
      <c r="AC16" s="8" t="str">
        <f>IFERROR(CONCATENATE(Data.[[#This Row],[DNI Ejecutivo]],Data.[[#This Row],[Periodo]]),"")</f>
        <v>4699825046143</v>
      </c>
      <c r="AD16" s="8" t="str">
        <f>IFERROR(VLOOKUP(Data.[[#This Row],[Código LT]],Reportería.[],10,0),"")</f>
        <v/>
      </c>
      <c r="AE16" s="8" t="str">
        <f>IFERROR(VLOOKUP(Data.[[#This Row],[Código LT]],Reportería.[],11,0),"")</f>
        <v/>
      </c>
      <c r="AF16" s="11">
        <v>17809</v>
      </c>
      <c r="AG16" s="11"/>
      <c r="AH16" s="11"/>
      <c r="AI16" s="11">
        <f>IF(TEXT(Data.[[#This Row],[Periodo]],"mmm-yy")="may-26",VLOOKUP(Data.[[#This Row],[Código]],Reportería!A:BV,57,0),0)</f>
        <v>19100</v>
      </c>
      <c r="AJ16" s="11"/>
      <c r="AK16" s="11"/>
      <c r="AL16" s="11">
        <f>IF(Data.[[#This Row],[Vol M0]]="",0,0)</f>
        <v>0</v>
      </c>
      <c r="AM16" s="11">
        <f>IF(Data.[[#This Row],[Vol M0]]="",0,0)</f>
        <v>0</v>
      </c>
      <c r="AN16" s="11">
        <f>IF(Data.[[#This Row],[Vol M0]]="",0,0)</f>
        <v>0</v>
      </c>
      <c r="AO16" s="11">
        <f>IF(Data.[[#This Row],[Vol M0]]="",0,0)</f>
        <v>0</v>
      </c>
      <c r="AP16" s="11">
        <f>IF(Data.[[#This Row],[Vol M0]]="",0,0)</f>
        <v>0</v>
      </c>
      <c r="AQ16" s="11">
        <f>IF(Data.[[#This Row],[Vol M0]]="",0,0)</f>
        <v>0</v>
      </c>
      <c r="AR16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7" spans="1:44" ht="14.25" customHeight="1">
      <c r="A17" s="8" t="str">
        <f>CONCATENATE(Data.[[#This Row],[Código]],Data.[[#This Row],[Ruc]])</f>
        <v>594777520612598780</v>
      </c>
      <c r="B17" s="9">
        <v>46143</v>
      </c>
      <c r="C17" s="8" t="str">
        <f>IFERROR(VLOOKUP(Data.[[#This Row],[Código LT]],Reportería.[],71,0),"")</f>
        <v/>
      </c>
      <c r="D17" s="10">
        <f>IFERROR(VLOOKUP(Data.[[#This Row],[Código]],BV!A:C,2,0),"")</f>
        <v>46157</v>
      </c>
      <c r="E17" s="10">
        <f>IFERROR(VLOOKUP(Data.[[#This Row],[Código]],BV!A:C,3,0),"")</f>
        <v>46160</v>
      </c>
      <c r="F17" s="8">
        <v>5947775</v>
      </c>
      <c r="G17" s="8" t="s">
        <v>82</v>
      </c>
      <c r="H17" s="8">
        <v>20612598780</v>
      </c>
      <c r="I17" s="8" t="s">
        <v>78</v>
      </c>
      <c r="J17" s="8" t="s">
        <v>79</v>
      </c>
      <c r="K17" s="8" t="str">
        <f>IF(Data.[[#This Row],[Tipo de Venta]]&lt;&gt;"POS","Atendido",IF(Data.[[#This Row],[Fecha de Instalación]]&lt;&gt;"","Atendido","Ingresado"))</f>
        <v>Atendido</v>
      </c>
      <c r="L17" s="8" t="str">
        <f>Data.[[#This Row],[Estado]]</f>
        <v>Atendido</v>
      </c>
      <c r="M17" s="8" t="s">
        <v>33</v>
      </c>
      <c r="N17" s="8" t="str">
        <f>IFERROR(VLOOKUP(Data.[[#This Row],[Código LT]],Reportería.[],20,0),"")</f>
        <v/>
      </c>
      <c r="O17" s="8" t="str">
        <f>IFERROR(VLOOKUP(Data.[[#This Row],[Código LT]],Reportería.[],5,0),"")</f>
        <v/>
      </c>
      <c r="P17" s="11">
        <f>Data.[[#This Row],[GPV Mensual LT]]/COUNTIFS(H:H,Data.[[#This Row],[Ruc]],B:B,Data.[[#This Row],[Periodo]])</f>
        <v>90000</v>
      </c>
      <c r="Q17" s="11">
        <v>180000</v>
      </c>
      <c r="R17" s="8" t="s">
        <v>80</v>
      </c>
      <c r="S17" s="8" t="str">
        <f>VLOOKUP(Data.[[#This Row],[Ejecutivo]],Productividad!D:N,11,0)</f>
        <v>46998250</v>
      </c>
      <c r="T17" s="50" t="str">
        <f>VLOOKUP(Data.[[#This Row],[DNI Ejecutivo]],Productividad!C:U,8,0)</f>
        <v>mgodoyc@lozapay.com.pe</v>
      </c>
      <c r="U17" s="8" t="str">
        <f>VLOOKUP(Data.[[#This Row],[DNI Ejecutivo]],Productividad!C:U,4,0)</f>
        <v>Elite</v>
      </c>
      <c r="V17" s="8" t="str">
        <f>IFERROR(VLOOKUP(Data.[[#This Row],[DNI Ejecutivo]],Ejecutivos.[],11,0),"")</f>
        <v>Lima Palomino</v>
      </c>
      <c r="W17" s="8" t="s">
        <v>35</v>
      </c>
      <c r="X17" s="8" t="str" cm="1">
        <f t="array" ref="X17">IFERROR(_xlfn.IFS(Data.[[#This Row],[Supervisor]]="Jonathan Lapoint","Norte",Data.[[#This Row],[Supervisor]]="Jorge Fuentes","Norte"),"Lima")</f>
        <v>Lima</v>
      </c>
      <c r="Y17" s="8" t="str">
        <f>VLOOKUP(Data.[[#This Row],[Supervisor]],Ejecutivos!B:S,17,0)</f>
        <v>41718975</v>
      </c>
      <c r="Z17" s="50" t="str">
        <f>VLOOKUP(Data.[[#This Row],[DNI Supervisor]],Productividad!C:U,8,0)</f>
        <v>carlos.palomino@lozapay.com.pe</v>
      </c>
      <c r="AA17" s="8"/>
      <c r="AB17" s="8" t="s">
        <v>81</v>
      </c>
      <c r="AC17" s="8" t="str">
        <f>IFERROR(CONCATENATE(Data.[[#This Row],[DNI Ejecutivo]],Data.[[#This Row],[Periodo]]),"")</f>
        <v>4699825046143</v>
      </c>
      <c r="AD17" s="8" t="str">
        <f>IFERROR(VLOOKUP(Data.[[#This Row],[Código LT]],Reportería.[],10,0),"")</f>
        <v/>
      </c>
      <c r="AE17" s="8" t="str">
        <f>IFERROR(VLOOKUP(Data.[[#This Row],[Código LT]],Reportería.[],11,0),"")</f>
        <v/>
      </c>
      <c r="AF17" s="11">
        <v>2931</v>
      </c>
      <c r="AG17" s="11"/>
      <c r="AH17" s="11"/>
      <c r="AI17" s="11">
        <f>IF(TEXT(Data.[[#This Row],[Periodo]],"mmm-yy")="may-26",VLOOKUP(Data.[[#This Row],[Código]],Reportería!A:BV,57,0),0)</f>
        <v>2844.9</v>
      </c>
      <c r="AJ17" s="11"/>
      <c r="AK17" s="11"/>
      <c r="AL17" s="11">
        <f>IF(Data.[[#This Row],[Vol M0]]="",0,0)</f>
        <v>0</v>
      </c>
      <c r="AM17" s="11">
        <f>IF(Data.[[#This Row],[Vol M0]]="",0,0)</f>
        <v>0</v>
      </c>
      <c r="AN17" s="11">
        <f>IF(Data.[[#This Row],[Vol M0]]="",0,0)</f>
        <v>0</v>
      </c>
      <c r="AO17" s="11">
        <f>IF(Data.[[#This Row],[Vol M0]]="",0,0)</f>
        <v>0</v>
      </c>
      <c r="AP17" s="11">
        <f>IF(Data.[[#This Row],[Vol M0]]="",0,0)</f>
        <v>0</v>
      </c>
      <c r="AQ17" s="11">
        <f>IF(Data.[[#This Row],[Vol M0]]="",0,0)</f>
        <v>0</v>
      </c>
      <c r="AR17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8" spans="1:44" ht="14.25" customHeight="1">
      <c r="A18" s="8" t="str">
        <f>CONCATENATE(Data.[[#This Row],[Código]],Data.[[#This Row],[Ruc]])</f>
        <v>594769420615727165</v>
      </c>
      <c r="B18" s="9">
        <v>46143</v>
      </c>
      <c r="C18" s="8" t="str">
        <f>IFERROR(VLOOKUP(Data.[[#This Row],[Código LT]],Reportería.[],71,0),"")</f>
        <v/>
      </c>
      <c r="D18" s="10">
        <f>IFERROR(VLOOKUP(Data.[[#This Row],[Código]],BV!A:C,2,0),"")</f>
        <v>46157</v>
      </c>
      <c r="E18" s="10">
        <f>IFERROR(VLOOKUP(Data.[[#This Row],[Código]],BV!A:C,3,0),"")</f>
        <v>46157</v>
      </c>
      <c r="F18" s="8">
        <v>5947694</v>
      </c>
      <c r="G18" s="8" t="s">
        <v>83</v>
      </c>
      <c r="H18" s="8">
        <v>20615727165</v>
      </c>
      <c r="I18" s="8" t="s">
        <v>84</v>
      </c>
      <c r="J18" s="8" t="s">
        <v>85</v>
      </c>
      <c r="K18" s="8" t="str">
        <f>IF(Data.[[#This Row],[Tipo de Venta]]&lt;&gt;"POS","Atendido",IF(Data.[[#This Row],[Fecha de Instalación]]&lt;&gt;"","Atendido","Ingresado"))</f>
        <v>Atendido</v>
      </c>
      <c r="L18" s="8" t="str">
        <f>Data.[[#This Row],[Estado]]</f>
        <v>Atendido</v>
      </c>
      <c r="M18" s="8" t="s">
        <v>33</v>
      </c>
      <c r="N18" s="8" t="str">
        <f>IFERROR(VLOOKUP(Data.[[#This Row],[Código LT]],Reportería.[],20,0),"")</f>
        <v/>
      </c>
      <c r="O18" s="8" t="str">
        <f>IFERROR(VLOOKUP(Data.[[#This Row],[Código LT]],Reportería.[],5,0),"")</f>
        <v/>
      </c>
      <c r="P18" s="11">
        <f>Data.[[#This Row],[GPV Mensual LT]]/COUNTIFS(H:H,Data.[[#This Row],[Ruc]],B:B,Data.[[#This Row],[Periodo]])</f>
        <v>10000</v>
      </c>
      <c r="Q18" s="11">
        <v>10000</v>
      </c>
      <c r="R18" s="8" t="s">
        <v>86</v>
      </c>
      <c r="S18" s="8" t="str">
        <f>VLOOKUP(Data.[[#This Row],[Ejecutivo]],Productividad!D:N,11,0)</f>
        <v>77016095</v>
      </c>
      <c r="T18" s="50" t="str">
        <f>VLOOKUP(Data.[[#This Row],[DNI Ejecutivo]],Productividad!C:U,8,0)</f>
        <v>nelly.delpino@lozapay.com.pe</v>
      </c>
      <c r="U18" s="8" t="str">
        <f>VLOOKUP(Data.[[#This Row],[DNI Ejecutivo]],Productividad!C:U,4,0)</f>
        <v>Hunter</v>
      </c>
      <c r="V18" s="8" t="str">
        <f>IFERROR(VLOOKUP(Data.[[#This Row],[DNI Ejecutivo]],Ejecutivos.[],11,0),"")</f>
        <v>Lima Jean</v>
      </c>
      <c r="W18" s="8" t="s">
        <v>64</v>
      </c>
      <c r="X18" s="8" t="str" cm="1">
        <f t="array" ref="X18">IFERROR(_xlfn.IFS(Data.[[#This Row],[Supervisor]]="Jonathan Lapoint","Norte",Data.[[#This Row],[Supervisor]]="Jorge Fuentes","Norte"),"Lima")</f>
        <v>Lima</v>
      </c>
      <c r="Y18" s="8" t="str">
        <f>VLOOKUP(Data.[[#This Row],[Supervisor]],Ejecutivos!B:S,17,0)</f>
        <v>47688341</v>
      </c>
      <c r="Z18" s="50" t="str">
        <f>VLOOKUP(Data.[[#This Row],[DNI Supervisor]],Productividad!C:U,8,0)</f>
        <v>jaguilar@lozapay.com.pe</v>
      </c>
      <c r="AA18" s="8"/>
      <c r="AB18" s="8" t="s">
        <v>87</v>
      </c>
      <c r="AC18" s="8" t="str">
        <f>IFERROR(CONCATENATE(Data.[[#This Row],[DNI Ejecutivo]],Data.[[#This Row],[Periodo]]),"")</f>
        <v>7701609546143</v>
      </c>
      <c r="AD18" s="8" t="str">
        <f>IFERROR(VLOOKUP(Data.[[#This Row],[Código LT]],Reportería.[],10,0),"")</f>
        <v/>
      </c>
      <c r="AE18" s="8" t="str">
        <f>IFERROR(VLOOKUP(Data.[[#This Row],[Código LT]],Reportería.[],11,0),"")</f>
        <v/>
      </c>
      <c r="AF18" s="11">
        <v>3144.2</v>
      </c>
      <c r="AG18" s="11"/>
      <c r="AH18" s="11"/>
      <c r="AI18" s="11">
        <f>IF(TEXT(Data.[[#This Row],[Periodo]],"mmm-yy")="may-26",VLOOKUP(Data.[[#This Row],[Código]],Reportería!A:BV,57,0),0)</f>
        <v>7190</v>
      </c>
      <c r="AJ18" s="11"/>
      <c r="AK18" s="11"/>
      <c r="AL18" s="11">
        <f>IF(Data.[[#This Row],[Vol M0]]="",0,0)</f>
        <v>0</v>
      </c>
      <c r="AM18" s="11">
        <f>IF(Data.[[#This Row],[Vol M0]]="",0,0)</f>
        <v>0</v>
      </c>
      <c r="AN18" s="11">
        <f>IF(Data.[[#This Row],[Vol M0]]="",0,0)</f>
        <v>0</v>
      </c>
      <c r="AO18" s="11">
        <f>IF(Data.[[#This Row],[Vol M0]]="",0,0)</f>
        <v>0</v>
      </c>
      <c r="AP18" s="11">
        <f>IF(Data.[[#This Row],[Vol M0]]="",0,0)</f>
        <v>0</v>
      </c>
      <c r="AQ18" s="11">
        <f>IF(Data.[[#This Row],[Vol M0]]="",0,0)</f>
        <v>0</v>
      </c>
      <c r="AR18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9" spans="1:44" ht="14.25" customHeight="1">
      <c r="A19" s="8" t="str">
        <f>CONCATENATE(Data.[[#This Row],[Código]],Data.[[#This Row],[Ruc]])</f>
        <v>594781120613703439</v>
      </c>
      <c r="B19" s="9">
        <v>46143</v>
      </c>
      <c r="C19" s="8" t="str">
        <f>IFERROR(VLOOKUP(Data.[[#This Row],[Código LT]],Reportería.[],71,0),"")</f>
        <v/>
      </c>
      <c r="D19" s="10">
        <f>IFERROR(VLOOKUP(Data.[[#This Row],[Código]],BV!A:C,2,0),"")</f>
        <v>46157</v>
      </c>
      <c r="E19" s="10">
        <f>IFERROR(VLOOKUP(Data.[[#This Row],[Código]],BV!A:C,3,0),"")</f>
        <v>46160</v>
      </c>
      <c r="F19" s="8">
        <v>5947811</v>
      </c>
      <c r="G19" s="8" t="s">
        <v>88</v>
      </c>
      <c r="H19" s="8">
        <v>20613703439</v>
      </c>
      <c r="I19" s="8" t="s">
        <v>89</v>
      </c>
      <c r="J19" s="8" t="s">
        <v>90</v>
      </c>
      <c r="K19" s="8" t="str">
        <f>IF(Data.[[#This Row],[Tipo de Venta]]&lt;&gt;"POS","Atendido",IF(Data.[[#This Row],[Fecha de Instalación]]&lt;&gt;"","Atendido","Ingresado"))</f>
        <v>Atendido</v>
      </c>
      <c r="L19" s="8" t="str">
        <f>Data.[[#This Row],[Estado]]</f>
        <v>Atendido</v>
      </c>
      <c r="M19" s="8" t="s">
        <v>33</v>
      </c>
      <c r="N19" s="8" t="str">
        <f>IFERROR(VLOOKUP(Data.[[#This Row],[Código LT]],Reportería.[],20,0),"")</f>
        <v/>
      </c>
      <c r="O19" s="8" t="str">
        <f>IFERROR(VLOOKUP(Data.[[#This Row],[Código LT]],Reportería.[],5,0),"")</f>
        <v/>
      </c>
      <c r="P19" s="11">
        <f>Data.[[#This Row],[GPV Mensual LT]]/COUNTIFS(H:H,Data.[[#This Row],[Ruc]],B:B,Data.[[#This Row],[Periodo]])</f>
        <v>180000</v>
      </c>
      <c r="Q19" s="11">
        <v>180000</v>
      </c>
      <c r="R19" s="8" t="s">
        <v>80</v>
      </c>
      <c r="S19" s="8" t="str">
        <f>VLOOKUP(Data.[[#This Row],[Ejecutivo]],Productividad!D:N,11,0)</f>
        <v>46998250</v>
      </c>
      <c r="T19" s="50" t="str">
        <f>VLOOKUP(Data.[[#This Row],[DNI Ejecutivo]],Productividad!C:U,8,0)</f>
        <v>mgodoyc@lozapay.com.pe</v>
      </c>
      <c r="U19" s="8" t="str">
        <f>VLOOKUP(Data.[[#This Row],[DNI Ejecutivo]],Productividad!C:U,4,0)</f>
        <v>Elite</v>
      </c>
      <c r="V19" s="8" t="str">
        <f>IFERROR(VLOOKUP(Data.[[#This Row],[DNI Ejecutivo]],Ejecutivos.[],11,0),"")</f>
        <v>Lima Palomino</v>
      </c>
      <c r="W19" s="8" t="s">
        <v>35</v>
      </c>
      <c r="X19" s="8" t="str" cm="1">
        <f t="array" ref="X19">IFERROR(_xlfn.IFS(Data.[[#This Row],[Supervisor]]="Jonathan Lapoint","Norte",Data.[[#This Row],[Supervisor]]="Jorge Fuentes","Norte"),"Lima")</f>
        <v>Lima</v>
      </c>
      <c r="Y19" s="8" t="str">
        <f>VLOOKUP(Data.[[#This Row],[Supervisor]],Ejecutivos!B:S,17,0)</f>
        <v>41718975</v>
      </c>
      <c r="Z19" s="50" t="str">
        <f>VLOOKUP(Data.[[#This Row],[DNI Supervisor]],Productividad!C:U,8,0)</f>
        <v>carlos.palomino@lozapay.com.pe</v>
      </c>
      <c r="AA19" s="8"/>
      <c r="AB19" s="8" t="s">
        <v>81</v>
      </c>
      <c r="AC19" s="8" t="str">
        <f>IFERROR(CONCATENATE(Data.[[#This Row],[DNI Ejecutivo]],Data.[[#This Row],[Periodo]]),"")</f>
        <v>4699825046143</v>
      </c>
      <c r="AD19" s="8" t="str">
        <f>IFERROR(VLOOKUP(Data.[[#This Row],[Código LT]],Reportería.[],10,0),"")</f>
        <v/>
      </c>
      <c r="AE19" s="8" t="str">
        <f>IFERROR(VLOOKUP(Data.[[#This Row],[Código LT]],Reportería.[],11,0),"")</f>
        <v/>
      </c>
      <c r="AF19" s="11">
        <v>66628.38</v>
      </c>
      <c r="AG19" s="11"/>
      <c r="AH19" s="11"/>
      <c r="AI19" s="11">
        <f>IF(TEXT(Data.[[#This Row],[Periodo]],"mmm-yy")="may-26",VLOOKUP(Data.[[#This Row],[Código]],Reportería!A:BV,57,0),0)</f>
        <v>70243</v>
      </c>
      <c r="AJ19" s="11"/>
      <c r="AK19" s="11"/>
      <c r="AL19" s="11">
        <f>IF(Data.[[#This Row],[Vol M0]]="",0,0)</f>
        <v>0</v>
      </c>
      <c r="AM19" s="11">
        <f>IF(Data.[[#This Row],[Vol M0]]="",0,0)</f>
        <v>0</v>
      </c>
      <c r="AN19" s="11">
        <f>IF(Data.[[#This Row],[Vol M0]]="",0,0)</f>
        <v>0</v>
      </c>
      <c r="AO19" s="11">
        <f>IF(Data.[[#This Row],[Vol M0]]="",0,0)</f>
        <v>0</v>
      </c>
      <c r="AP19" s="11">
        <f>IF(Data.[[#This Row],[Vol M0]]="",0,0)</f>
        <v>0</v>
      </c>
      <c r="AQ19" s="11">
        <f>IF(Data.[[#This Row],[Vol M0]]="",0,0)</f>
        <v>0</v>
      </c>
      <c r="AR19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1</v>
      </c>
    </row>
    <row r="20" spans="1:44" ht="14.25" customHeight="1">
      <c r="A20" s="8" t="str">
        <f>CONCATENATE(Data.[[#This Row],[Código]],Data.[[#This Row],[Ruc]])</f>
        <v>594783320612913359</v>
      </c>
      <c r="B20" s="9">
        <v>46143</v>
      </c>
      <c r="C20" s="8" t="str">
        <f>IFERROR(VLOOKUP(Data.[[#This Row],[Código LT]],Reportería.[],71,0),"")</f>
        <v/>
      </c>
      <c r="D20" s="10">
        <f>IFERROR(VLOOKUP(Data.[[#This Row],[Código]],BV!A:C,2,0),"")</f>
        <v>46157</v>
      </c>
      <c r="E20" s="10">
        <f>IFERROR(VLOOKUP(Data.[[#This Row],[Código]],BV!A:C,3,0),"")</f>
        <v>46160</v>
      </c>
      <c r="F20" s="8">
        <v>5947833</v>
      </c>
      <c r="G20" s="8" t="s">
        <v>91</v>
      </c>
      <c r="H20" s="8">
        <v>20612913359</v>
      </c>
      <c r="I20" s="8" t="s">
        <v>92</v>
      </c>
      <c r="J20" s="8" t="s">
        <v>93</v>
      </c>
      <c r="K20" s="8" t="str">
        <f>IF(Data.[[#This Row],[Tipo de Venta]]&lt;&gt;"POS","Atendido",IF(Data.[[#This Row],[Fecha de Instalación]]&lt;&gt;"","Atendido","Ingresado"))</f>
        <v>Atendido</v>
      </c>
      <c r="L20" s="8" t="str">
        <f>Data.[[#This Row],[Estado]]</f>
        <v>Atendido</v>
      </c>
      <c r="M20" s="8" t="s">
        <v>33</v>
      </c>
      <c r="N20" s="8" t="str">
        <f>IFERROR(VLOOKUP(Data.[[#This Row],[Código LT]],Reportería.[],20,0),"")</f>
        <v/>
      </c>
      <c r="O20" s="8" t="str">
        <f>IFERROR(VLOOKUP(Data.[[#This Row],[Código LT]],Reportería.[],5,0),"")</f>
        <v/>
      </c>
      <c r="P20" s="11">
        <f>Data.[[#This Row],[GPV Mensual LT]]/COUNTIFS(H:H,Data.[[#This Row],[Ruc]],B:B,Data.[[#This Row],[Periodo]])</f>
        <v>90000</v>
      </c>
      <c r="Q20" s="11">
        <v>180000</v>
      </c>
      <c r="R20" s="8" t="s">
        <v>80</v>
      </c>
      <c r="S20" s="8" t="str">
        <f>VLOOKUP(Data.[[#This Row],[Ejecutivo]],Productividad!D:N,11,0)</f>
        <v>46998250</v>
      </c>
      <c r="T20" s="50" t="str">
        <f>VLOOKUP(Data.[[#This Row],[DNI Ejecutivo]],Productividad!C:U,8,0)</f>
        <v>mgodoyc@lozapay.com.pe</v>
      </c>
      <c r="U20" s="8" t="str">
        <f>VLOOKUP(Data.[[#This Row],[DNI Ejecutivo]],Productividad!C:U,4,0)</f>
        <v>Elite</v>
      </c>
      <c r="V20" s="8" t="str">
        <f>IFERROR(VLOOKUP(Data.[[#This Row],[DNI Ejecutivo]],Ejecutivos.[],11,0),"")</f>
        <v>Lima Palomino</v>
      </c>
      <c r="W20" s="8" t="s">
        <v>35</v>
      </c>
      <c r="X20" s="8" t="str" cm="1">
        <f t="array" ref="X20">IFERROR(_xlfn.IFS(Data.[[#This Row],[Supervisor]]="Jonathan Lapoint","Norte",Data.[[#This Row],[Supervisor]]="Jorge Fuentes","Norte"),"Lima")</f>
        <v>Lima</v>
      </c>
      <c r="Y20" s="8" t="str">
        <f>VLOOKUP(Data.[[#This Row],[Supervisor]],Ejecutivos!B:S,17,0)</f>
        <v>41718975</v>
      </c>
      <c r="Z20" s="50" t="str">
        <f>VLOOKUP(Data.[[#This Row],[DNI Supervisor]],Productividad!C:U,8,0)</f>
        <v>carlos.palomino@lozapay.com.pe</v>
      </c>
      <c r="AA20" s="8"/>
      <c r="AB20" s="8" t="s">
        <v>81</v>
      </c>
      <c r="AC20" s="8" t="str">
        <f>IFERROR(CONCATENATE(Data.[[#This Row],[DNI Ejecutivo]],Data.[[#This Row],[Periodo]]),"")</f>
        <v>4699825046143</v>
      </c>
      <c r="AD20" s="8" t="str">
        <f>IFERROR(VLOOKUP(Data.[[#This Row],[Código LT]],Reportería.[],10,0),"")</f>
        <v/>
      </c>
      <c r="AE20" s="8" t="str">
        <f>IFERROR(VLOOKUP(Data.[[#This Row],[Código LT]],Reportería.[],11,0),"")</f>
        <v/>
      </c>
      <c r="AF20" s="11">
        <v>40828</v>
      </c>
      <c r="AG20" s="11"/>
      <c r="AH20" s="11"/>
      <c r="AI20" s="11">
        <f>IF(TEXT(Data.[[#This Row],[Periodo]],"mmm-yy")="may-26",VLOOKUP(Data.[[#This Row],[Código]],Reportería!A:BV,57,0),0)</f>
        <v>47624</v>
      </c>
      <c r="AJ20" s="11"/>
      <c r="AK20" s="11"/>
      <c r="AL20" s="11">
        <f>IF(Data.[[#This Row],[Vol M0]]="",0,0)</f>
        <v>0</v>
      </c>
      <c r="AM20" s="11">
        <f>IF(Data.[[#This Row],[Vol M0]]="",0,0)</f>
        <v>0</v>
      </c>
      <c r="AN20" s="11">
        <f>IF(Data.[[#This Row],[Vol M0]]="",0,0)</f>
        <v>0</v>
      </c>
      <c r="AO20" s="11">
        <f>IF(Data.[[#This Row],[Vol M0]]="",0,0)</f>
        <v>0</v>
      </c>
      <c r="AP20" s="11">
        <f>IF(Data.[[#This Row],[Vol M0]]="",0,0)</f>
        <v>0</v>
      </c>
      <c r="AQ20" s="11">
        <f>IF(Data.[[#This Row],[Vol M0]]="",0,0)</f>
        <v>0</v>
      </c>
      <c r="AR20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0.5</v>
      </c>
    </row>
    <row r="21" spans="1:44" ht="14.25" customHeight="1">
      <c r="A21" s="8" t="str">
        <f>CONCATENATE(Data.[[#This Row],[Código]],Data.[[#This Row],[Ruc]])</f>
        <v>594836320539185901</v>
      </c>
      <c r="B21" s="9">
        <v>46143</v>
      </c>
      <c r="C21" s="8" t="str">
        <f>IFERROR(VLOOKUP(Data.[[#This Row],[Código LT]],Reportería.[],71,0),"")</f>
        <v/>
      </c>
      <c r="D21" s="10">
        <f>IFERROR(VLOOKUP(Data.[[#This Row],[Código]],BV!A:C,2,0),"")</f>
        <v>46160</v>
      </c>
      <c r="E21" s="10">
        <f>IFERROR(VLOOKUP(Data.[[#This Row],[Código]],BV!A:C,3,0),"")</f>
        <v>46160</v>
      </c>
      <c r="F21" s="8">
        <v>5948363</v>
      </c>
      <c r="G21" s="8" t="s">
        <v>94</v>
      </c>
      <c r="H21" s="8">
        <v>20539185901</v>
      </c>
      <c r="I21" s="8" t="s">
        <v>95</v>
      </c>
      <c r="J21" s="8" t="s">
        <v>96</v>
      </c>
      <c r="K21" s="8" t="str">
        <f>IF(Data.[[#This Row],[Tipo de Venta]]&lt;&gt;"POS","Atendido",IF(Data.[[#This Row],[Fecha de Instalación]]&lt;&gt;"","Atendido","Ingresado"))</f>
        <v>Atendido</v>
      </c>
      <c r="L21" s="8" t="str">
        <f>Data.[[#This Row],[Estado]]</f>
        <v>Atendido</v>
      </c>
      <c r="M21" s="8" t="s">
        <v>33</v>
      </c>
      <c r="N21" s="8" t="str">
        <f>IFERROR(VLOOKUP(Data.[[#This Row],[Código LT]],Reportería.[],20,0),"")</f>
        <v/>
      </c>
      <c r="O21" s="8" t="str">
        <f>IFERROR(VLOOKUP(Data.[[#This Row],[Código LT]],Reportería.[],5,0),"")</f>
        <v/>
      </c>
      <c r="P21" s="11">
        <f>Data.[[#This Row],[GPV Mensual LT]]/COUNTIFS(H:H,Data.[[#This Row],[Ruc]],B:B,Data.[[#This Row],[Periodo]])</f>
        <v>35000</v>
      </c>
      <c r="Q21" s="11">
        <v>35000</v>
      </c>
      <c r="R21" s="8" t="s">
        <v>97</v>
      </c>
      <c r="S21" s="8" t="str">
        <f>VLOOKUP(Data.[[#This Row],[Ejecutivo]],Productividad!D:N,11,0)</f>
        <v>76032645</v>
      </c>
      <c r="T21" s="50" t="str">
        <f>VLOOKUP(Data.[[#This Row],[DNI Ejecutivo]],Productividad!C:U,8,0)</f>
        <v>alberto.chaname@lozapay.com.pe</v>
      </c>
      <c r="U21" s="8" t="str">
        <f>VLOOKUP(Data.[[#This Row],[DNI Ejecutivo]],Productividad!C:U,4,0)</f>
        <v>Senior</v>
      </c>
      <c r="V21" s="8" t="str">
        <f>IFERROR(VLOOKUP(Data.[[#This Row],[DNI Ejecutivo]],Ejecutivos.[],11,0),"")</f>
        <v>Norte Lapoint</v>
      </c>
      <c r="W21" s="8" t="s">
        <v>98</v>
      </c>
      <c r="X21" s="8" t="str" cm="1">
        <f t="array" ref="X21">IFERROR(_xlfn.IFS(Data.[[#This Row],[Supervisor]]="Jonathan Lapoint","Norte",Data.[[#This Row],[Supervisor]]="Jorge Fuentes","Norte"),"Lima")</f>
        <v>Norte</v>
      </c>
      <c r="Y21" s="8" t="str">
        <f>VLOOKUP(Data.[[#This Row],[Supervisor]],Ejecutivos!B:S,17,0)</f>
        <v>70430554</v>
      </c>
      <c r="Z21" s="50" t="str">
        <f>VLOOKUP(Data.[[#This Row],[DNI Supervisor]],Productividad!C:U,8,0)</f>
        <v>jlapointp@lozapay.com.pe</v>
      </c>
      <c r="AA21" s="8"/>
      <c r="AB21" s="8" t="s">
        <v>99</v>
      </c>
      <c r="AC21" s="8" t="str">
        <f>IFERROR(CONCATENATE(Data.[[#This Row],[DNI Ejecutivo]],Data.[[#This Row],[Periodo]]),"")</f>
        <v>7603264546143</v>
      </c>
      <c r="AD21" s="8" t="str">
        <f>IFERROR(VLOOKUP(Data.[[#This Row],[Código LT]],Reportería.[],10,0),"")</f>
        <v/>
      </c>
      <c r="AE21" s="8" t="str">
        <f>IFERROR(VLOOKUP(Data.[[#This Row],[Código LT]],Reportería.[],11,0),"")</f>
        <v/>
      </c>
      <c r="AF21" s="11">
        <v>12267.08</v>
      </c>
      <c r="AG21" s="11"/>
      <c r="AH21" s="11"/>
      <c r="AI21" s="11">
        <f>IF(TEXT(Data.[[#This Row],[Periodo]],"mmm-yy")="may-26",VLOOKUP(Data.[[#This Row],[Código]],Reportería!A:BV,57,0),0)</f>
        <v>250</v>
      </c>
      <c r="AJ21" s="11"/>
      <c r="AK21" s="11"/>
      <c r="AL21" s="11">
        <f>IF(Data.[[#This Row],[Vol M0]]="",0,0)</f>
        <v>0</v>
      </c>
      <c r="AM21" s="11">
        <f>IF(Data.[[#This Row],[Vol M0]]="",0,0)</f>
        <v>0</v>
      </c>
      <c r="AN21" s="11">
        <f>IF(Data.[[#This Row],[Vol M0]]="",0,0)</f>
        <v>0</v>
      </c>
      <c r="AO21" s="11">
        <f>IF(Data.[[#This Row],[Vol M0]]="",0,0)</f>
        <v>0</v>
      </c>
      <c r="AP21" s="11">
        <f>IF(Data.[[#This Row],[Vol M0]]="",0,0)</f>
        <v>0</v>
      </c>
      <c r="AQ21" s="11">
        <f>IF(Data.[[#This Row],[Vol M0]]="",0,0)</f>
        <v>0</v>
      </c>
      <c r="AR21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22" spans="1:44" ht="14.25" customHeight="1">
      <c r="A22" s="8" t="str">
        <f>CONCATENATE(Data.[[#This Row],[Código]],Data.[[#This Row],[Ruc]])</f>
        <v>594872720611563435</v>
      </c>
      <c r="B22" s="9">
        <v>46143</v>
      </c>
      <c r="C22" s="8" t="str">
        <f>IFERROR(VLOOKUP(Data.[[#This Row],[Código LT]],Reportería.[],71,0),"")</f>
        <v/>
      </c>
      <c r="D22" s="10">
        <f>IFERROR(VLOOKUP(Data.[[#This Row],[Código]],BV!A:C,2,0),"")</f>
        <v>46160</v>
      </c>
      <c r="E22" s="10">
        <f>IFERROR(VLOOKUP(Data.[[#This Row],[Código]],BV!A:C,3,0),"")</f>
        <v>46162</v>
      </c>
      <c r="F22" s="8">
        <v>5948727</v>
      </c>
      <c r="G22" s="8" t="s">
        <v>100</v>
      </c>
      <c r="H22" s="8">
        <v>20611563435</v>
      </c>
      <c r="I22" s="8" t="s">
        <v>101</v>
      </c>
      <c r="J22" s="8" t="s">
        <v>102</v>
      </c>
      <c r="K22" s="8" t="str">
        <f>IF(Data.[[#This Row],[Tipo de Venta]]&lt;&gt;"POS","Atendido",IF(Data.[[#This Row],[Fecha de Instalación]]&lt;&gt;"","Atendido","Ingresado"))</f>
        <v>Atendido</v>
      </c>
      <c r="L22" s="8" t="str">
        <f>Data.[[#This Row],[Estado]]</f>
        <v>Atendido</v>
      </c>
      <c r="M22" s="8" t="s">
        <v>33</v>
      </c>
      <c r="N22" s="8" t="str">
        <f>IFERROR(VLOOKUP(Data.[[#This Row],[Código LT]],Reportería.[],20,0),"")</f>
        <v/>
      </c>
      <c r="O22" s="8" t="str">
        <f>IFERROR(VLOOKUP(Data.[[#This Row],[Código LT]],Reportería.[],5,0),"")</f>
        <v/>
      </c>
      <c r="P22" s="11">
        <f>Data.[[#This Row],[GPV Mensual LT]]/COUNTIFS(H:H,Data.[[#This Row],[Ruc]],B:B,Data.[[#This Row],[Periodo]])</f>
        <v>100000</v>
      </c>
      <c r="Q22" s="11">
        <v>100000</v>
      </c>
      <c r="R22" s="8" t="s">
        <v>103</v>
      </c>
      <c r="S22" s="8" t="str">
        <f>VLOOKUP(Data.[[#This Row],[Ejecutivo]],Productividad!D:N,11,0)</f>
        <v>72895762</v>
      </c>
      <c r="T22" s="50" t="str">
        <f>VLOOKUP(Data.[[#This Row],[DNI Ejecutivo]],Productividad!C:U,8,0)</f>
        <v>leonardo.honorio@lozapay.com.pe</v>
      </c>
      <c r="U22" s="8" t="str">
        <f>VLOOKUP(Data.[[#This Row],[DNI Ejecutivo]],Productividad!C:U,4,0)</f>
        <v>Senior</v>
      </c>
      <c r="V22" s="8" t="str">
        <f>IFERROR(VLOOKUP(Data.[[#This Row],[DNI Ejecutivo]],Ejecutivos.[],11,0),"")</f>
        <v>Lima Palomino</v>
      </c>
      <c r="W22" s="8" t="s">
        <v>35</v>
      </c>
      <c r="X22" s="8" t="str" cm="1">
        <f t="array" ref="X22">IFERROR(_xlfn.IFS(Data.[[#This Row],[Supervisor]]="Jonathan Lapoint","Norte",Data.[[#This Row],[Supervisor]]="Jorge Fuentes","Norte"),"Lima")</f>
        <v>Lima</v>
      </c>
      <c r="Y22" s="8" t="str">
        <f>VLOOKUP(Data.[[#This Row],[Supervisor]],Ejecutivos!B:S,17,0)</f>
        <v>41718975</v>
      </c>
      <c r="Z22" s="50" t="str">
        <f>VLOOKUP(Data.[[#This Row],[DNI Supervisor]],Productividad!C:U,8,0)</f>
        <v>carlos.palomino@lozapay.com.pe</v>
      </c>
      <c r="AA22" s="8"/>
      <c r="AB22" s="8" t="s">
        <v>104</v>
      </c>
      <c r="AC22" s="8" t="str">
        <f>IFERROR(CONCATENATE(Data.[[#This Row],[DNI Ejecutivo]],Data.[[#This Row],[Periodo]]),"")</f>
        <v>7289576246143</v>
      </c>
      <c r="AD22" s="8" t="str">
        <f>IFERROR(VLOOKUP(Data.[[#This Row],[Código LT]],Reportería.[],10,0),"")</f>
        <v/>
      </c>
      <c r="AE22" s="8" t="str">
        <f>IFERROR(VLOOKUP(Data.[[#This Row],[Código LT]],Reportería.[],11,0),"")</f>
        <v/>
      </c>
      <c r="AF22" s="11">
        <v>1.1000000000000001</v>
      </c>
      <c r="AG22" s="11"/>
      <c r="AH22" s="11"/>
      <c r="AI22" s="11">
        <f>IF(TEXT(Data.[[#This Row],[Periodo]],"mmm-yy")="may-26",VLOOKUP(Data.[[#This Row],[Código]],Reportería!A:BV,57,0),0)</f>
        <v>0</v>
      </c>
      <c r="AJ22" s="11"/>
      <c r="AK22" s="11"/>
      <c r="AL22" s="11">
        <f>IF(Data.[[#This Row],[Vol M0]]="",0,0)</f>
        <v>0</v>
      </c>
      <c r="AM22" s="11">
        <f>IF(Data.[[#This Row],[Vol M0]]="",0,0)</f>
        <v>0</v>
      </c>
      <c r="AN22" s="11">
        <f>IF(Data.[[#This Row],[Vol M0]]="",0,0)</f>
        <v>0</v>
      </c>
      <c r="AO22" s="11">
        <f>IF(Data.[[#This Row],[Vol M0]]="",0,0)</f>
        <v>0</v>
      </c>
      <c r="AP22" s="11">
        <f>IF(Data.[[#This Row],[Vol M0]]="",0,0)</f>
        <v>0</v>
      </c>
      <c r="AQ22" s="11">
        <f>IF(Data.[[#This Row],[Vol M0]]="",0,0)</f>
        <v>0</v>
      </c>
      <c r="AR22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23" spans="1:44" ht="14.25" customHeight="1">
      <c r="A23" s="8" t="str">
        <f>CONCATENATE(Data.[[#This Row],[Código]],Data.[[#This Row],[Ruc]])</f>
        <v>594863320612913359</v>
      </c>
      <c r="B23" s="9">
        <v>46143</v>
      </c>
      <c r="C23" s="8" t="str">
        <f>IFERROR(VLOOKUP(Data.[[#This Row],[Código LT]],Reportería.[],71,0),"")</f>
        <v/>
      </c>
      <c r="D23" s="10">
        <f>IFERROR(VLOOKUP(Data.[[#This Row],[Código]],BV!A:C,2,0),"")</f>
        <v>46161</v>
      </c>
      <c r="E23" s="10">
        <f>IFERROR(VLOOKUP(Data.[[#This Row],[Código]],BV!A:C,3,0),"")</f>
        <v>46161</v>
      </c>
      <c r="F23" s="8">
        <v>5948633</v>
      </c>
      <c r="G23" s="8" t="s">
        <v>105</v>
      </c>
      <c r="H23" s="8">
        <v>20612913359</v>
      </c>
      <c r="I23" s="8" t="s">
        <v>92</v>
      </c>
      <c r="J23" s="8" t="s">
        <v>106</v>
      </c>
      <c r="K23" s="8" t="str">
        <f>IF(Data.[[#This Row],[Tipo de Venta]]&lt;&gt;"POS","Atendido",IF(Data.[[#This Row],[Fecha de Instalación]]&lt;&gt;"","Atendido","Ingresado"))</f>
        <v>Atendido</v>
      </c>
      <c r="L23" s="8" t="str">
        <f>Data.[[#This Row],[Estado]]</f>
        <v>Atendido</v>
      </c>
      <c r="M23" s="8" t="s">
        <v>33</v>
      </c>
      <c r="N23" s="8" t="str">
        <f>IFERROR(VLOOKUP(Data.[[#This Row],[Código LT]],Reportería.[],20,0),"")</f>
        <v/>
      </c>
      <c r="O23" s="8" t="str">
        <f>IFERROR(VLOOKUP(Data.[[#This Row],[Código LT]],Reportería.[],5,0),"")</f>
        <v/>
      </c>
      <c r="P23" s="11">
        <f>Data.[[#This Row],[GPV Mensual LT]]/COUNTIFS(H:H,Data.[[#This Row],[Ruc]],B:B,Data.[[#This Row],[Periodo]])</f>
        <v>90000</v>
      </c>
      <c r="Q23" s="11">
        <v>180000</v>
      </c>
      <c r="R23" s="8" t="s">
        <v>80</v>
      </c>
      <c r="S23" s="8" t="str">
        <f>VLOOKUP(Data.[[#This Row],[Ejecutivo]],Productividad!D:N,11,0)</f>
        <v>46998250</v>
      </c>
      <c r="T23" s="50" t="str">
        <f>VLOOKUP(Data.[[#This Row],[DNI Ejecutivo]],Productividad!C:U,8,0)</f>
        <v>mgodoyc@lozapay.com.pe</v>
      </c>
      <c r="U23" s="8" t="str">
        <f>VLOOKUP(Data.[[#This Row],[DNI Ejecutivo]],Productividad!C:U,4,0)</f>
        <v>Elite</v>
      </c>
      <c r="V23" s="8" t="str">
        <f>IFERROR(VLOOKUP(Data.[[#This Row],[DNI Ejecutivo]],Ejecutivos.[],11,0),"")</f>
        <v>Lima Palomino</v>
      </c>
      <c r="W23" s="8" t="s">
        <v>35</v>
      </c>
      <c r="X23" s="8" t="str" cm="1">
        <f t="array" ref="X23">IFERROR(_xlfn.IFS(Data.[[#This Row],[Supervisor]]="Jonathan Lapoint","Norte",Data.[[#This Row],[Supervisor]]="Jorge Fuentes","Norte"),"Lima")</f>
        <v>Lima</v>
      </c>
      <c r="Y23" s="8" t="str">
        <f>VLOOKUP(Data.[[#This Row],[Supervisor]],Ejecutivos!B:S,17,0)</f>
        <v>41718975</v>
      </c>
      <c r="Z23" s="50" t="str">
        <f>VLOOKUP(Data.[[#This Row],[DNI Supervisor]],Productividad!C:U,8,0)</f>
        <v>carlos.palomino@lozapay.com.pe</v>
      </c>
      <c r="AA23" s="8"/>
      <c r="AB23" s="8" t="s">
        <v>81</v>
      </c>
      <c r="AC23" s="8" t="str">
        <f>IFERROR(CONCATENATE(Data.[[#This Row],[DNI Ejecutivo]],Data.[[#This Row],[Periodo]]),"")</f>
        <v>4699825046143</v>
      </c>
      <c r="AD23" s="8" t="str">
        <f>IFERROR(VLOOKUP(Data.[[#This Row],[Código LT]],Reportería.[],10,0),"")</f>
        <v/>
      </c>
      <c r="AE23" s="8" t="str">
        <f>IFERROR(VLOOKUP(Data.[[#This Row],[Código LT]],Reportería.[],11,0),"")</f>
        <v/>
      </c>
      <c r="AF23" s="11">
        <v>17443.2</v>
      </c>
      <c r="AG23" s="11"/>
      <c r="AH23" s="11"/>
      <c r="AI23" s="11">
        <f>IF(TEXT(Data.[[#This Row],[Periodo]],"mmm-yy")="may-26",VLOOKUP(Data.[[#This Row],[Código]],Reportería!A:BV,57,0),0)</f>
        <v>24717.8</v>
      </c>
      <c r="AJ23" s="11"/>
      <c r="AK23" s="11"/>
      <c r="AL23" s="11">
        <f>IF(Data.[[#This Row],[Vol M0]]="",0,0)</f>
        <v>0</v>
      </c>
      <c r="AM23" s="11">
        <f>IF(Data.[[#This Row],[Vol M0]]="",0,0)</f>
        <v>0</v>
      </c>
      <c r="AN23" s="11">
        <f>IF(Data.[[#This Row],[Vol M0]]="",0,0)</f>
        <v>0</v>
      </c>
      <c r="AO23" s="11">
        <f>IF(Data.[[#This Row],[Vol M0]]="",0,0)</f>
        <v>0</v>
      </c>
      <c r="AP23" s="11">
        <f>IF(Data.[[#This Row],[Vol M0]]="",0,0)</f>
        <v>0</v>
      </c>
      <c r="AQ23" s="11">
        <f>IF(Data.[[#This Row],[Vol M0]]="",0,0)</f>
        <v>0</v>
      </c>
      <c r="AR23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0.5</v>
      </c>
    </row>
    <row r="24" spans="1:44" ht="14.25" customHeight="1">
      <c r="A24" s="12" t="str">
        <f>CONCATENATE(Data.[[#This Row],[Código]],Data.[[#This Row],[Ruc]])</f>
        <v>594906920611402555</v>
      </c>
      <c r="B24" s="9">
        <v>46143</v>
      </c>
      <c r="C24" s="12" t="str">
        <f>IFERROR(VLOOKUP(Data.[[#This Row],[Código LT]],Reportería.[],71,0),"")</f>
        <v/>
      </c>
      <c r="D24" s="52">
        <f>IFERROR(VLOOKUP(Data.[[#This Row],[Código]],BV!A:C,2,0),"")</f>
        <v>46162</v>
      </c>
      <c r="E24" s="52">
        <f>IFERROR(VLOOKUP(Data.[[#This Row],[Código]],BV!A:C,3,0),"")</f>
        <v>46162</v>
      </c>
      <c r="F24" s="12">
        <v>5949069</v>
      </c>
      <c r="G24" s="12" t="s">
        <v>107</v>
      </c>
      <c r="H24" s="12">
        <v>20611402555</v>
      </c>
      <c r="I24" s="12" t="s">
        <v>108</v>
      </c>
      <c r="J24" s="12" t="s">
        <v>109</v>
      </c>
      <c r="K24" s="12" t="str">
        <f>IF(Data.[[#This Row],[Tipo de Venta]]&lt;&gt;"POS","Atendido",IF(Data.[[#This Row],[Fecha de Instalación]]&lt;&gt;"","Atendido","Ingresado"))</f>
        <v>Atendido</v>
      </c>
      <c r="L24" s="12" t="str">
        <f>Data.[[#This Row],[Estado]]</f>
        <v>Atendido</v>
      </c>
      <c r="M24" s="8" t="s">
        <v>33</v>
      </c>
      <c r="N24" s="12" t="str">
        <f>IFERROR(VLOOKUP(Data.[[#This Row],[Código LT]],Reportería.[],20,0),"")</f>
        <v/>
      </c>
      <c r="O24" s="12" t="str">
        <f>IFERROR(VLOOKUP(Data.[[#This Row],[Código LT]],Reportería.[],5,0),"")</f>
        <v/>
      </c>
      <c r="P24" s="13">
        <f>Data.[[#This Row],[GPV Mensual LT]]/COUNTIFS(H:H,Data.[[#This Row],[Ruc]],B:B,Data.[[#This Row],[Periodo]])</f>
        <v>30000</v>
      </c>
      <c r="Q24" s="13">
        <v>30000</v>
      </c>
      <c r="R24" s="12" t="s">
        <v>253</v>
      </c>
      <c r="S24" s="12" t="str">
        <f>VLOOKUP(Data.[[#This Row],[Ejecutivo]],Productividad!D:N,11,0)</f>
        <v>74651895</v>
      </c>
      <c r="T24" s="51" t="str">
        <f>VLOOKUP(Data.[[#This Row],[DNI Ejecutivo]],Productividad!C:U,8,0)</f>
        <v>carlos.effio@lozapay.com.pe</v>
      </c>
      <c r="U24" s="12" t="str">
        <f>VLOOKUP(Data.[[#This Row],[DNI Ejecutivo]],Productividad!C:U,4,0)</f>
        <v>Hunter</v>
      </c>
      <c r="V24" s="12" t="str">
        <f>IFERROR(VLOOKUP(Data.[[#This Row],[DNI Ejecutivo]],Ejecutivos.[],11,0),"")</f>
        <v/>
      </c>
      <c r="W24" s="12" t="s">
        <v>98</v>
      </c>
      <c r="X24" s="12" t="str" cm="1">
        <f t="array" ref="X24">IFERROR(_xlfn.IFS(Data.[[#This Row],[Supervisor]]="Jonathan Lapoint","Norte",Data.[[#This Row],[Supervisor]]="Jorge Fuentes","Norte"),"Lima")</f>
        <v>Norte</v>
      </c>
      <c r="Y24" s="12" t="str">
        <f>VLOOKUP(Data.[[#This Row],[Supervisor]],Ejecutivos!B:S,17,0)</f>
        <v>70430554</v>
      </c>
      <c r="Z24" s="51" t="str">
        <f>VLOOKUP(Data.[[#This Row],[DNI Supervisor]],Productividad!C:U,8,0)</f>
        <v>jlapointp@lozapay.com.pe</v>
      </c>
      <c r="AA24" s="12"/>
      <c r="AB24" s="12" t="s">
        <v>254</v>
      </c>
      <c r="AC24" s="12" t="str">
        <f>IFERROR(CONCATENATE(Data.[[#This Row],[DNI Ejecutivo]],Data.[[#This Row],[Periodo]]),"")</f>
        <v>7465189546143</v>
      </c>
      <c r="AD24" s="12" t="str">
        <f>IFERROR(VLOOKUP(Data.[[#This Row],[Código LT]],Reportería.[],10,0),"")</f>
        <v/>
      </c>
      <c r="AE24" s="12" t="str">
        <f>IFERROR(VLOOKUP(Data.[[#This Row],[Código LT]],Reportería.[],11,0),"")</f>
        <v/>
      </c>
      <c r="AF24" s="13">
        <v>151</v>
      </c>
      <c r="AG24" s="13"/>
      <c r="AH24" s="13"/>
      <c r="AI24" s="11">
        <f>IF(TEXT(Data.[[#This Row],[Periodo]],"mmm-yy")="may-26",VLOOKUP(Data.[[#This Row],[Código]],Reportería!A:BV,57,0),0)</f>
        <v>4585</v>
      </c>
      <c r="AJ24" s="13"/>
      <c r="AK24" s="13"/>
      <c r="AL24" s="11">
        <f>IF(Data.[[#This Row],[Vol M0]]="",0,0)</f>
        <v>0</v>
      </c>
      <c r="AM24" s="11">
        <f>IF(Data.[[#This Row],[Vol M0]]="",0,0)</f>
        <v>0</v>
      </c>
      <c r="AN24" s="11">
        <f>IF(Data.[[#This Row],[Vol M0]]="",0,0)</f>
        <v>0</v>
      </c>
      <c r="AO24" s="11">
        <f>IF(Data.[[#This Row],[Vol M0]]="",0,0)</f>
        <v>0</v>
      </c>
      <c r="AP24" s="13">
        <f>IF(Data.[[#This Row],[Vol M0]]="",0,0)</f>
        <v>0</v>
      </c>
      <c r="AQ24" s="13">
        <f>IF(Data.[[#This Row],[Vol M0]]="",0,0)</f>
        <v>0</v>
      </c>
      <c r="AR24" s="13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25" spans="1:44" ht="14.25" customHeight="1">
      <c r="A25" s="53" t="str">
        <f>CONCATENATE(Data.[[#This Row],[Código]],Data.[[#This Row],[Ruc]])</f>
        <v>594949810164731435</v>
      </c>
      <c r="B25" s="9">
        <v>46143</v>
      </c>
      <c r="C25" s="53" t="str">
        <f>IFERROR(VLOOKUP(Data.[[#This Row],[Código LT]],Reportería.[],71,0),"")</f>
        <v/>
      </c>
      <c r="D25" s="10">
        <f>IFERROR(VLOOKUP(Data.[[#This Row],[Código]],BV!A:C,2,0),"")</f>
        <v>46163</v>
      </c>
      <c r="E25" s="10">
        <f>IFERROR(VLOOKUP(Data.[[#This Row],[Código]],BV!A:C,3,0),"")</f>
        <v>46163</v>
      </c>
      <c r="F25" s="53">
        <v>5949498</v>
      </c>
      <c r="G25" s="8" t="s">
        <v>549</v>
      </c>
      <c r="H25" s="8">
        <v>10164731435</v>
      </c>
      <c r="I25" s="8" t="s">
        <v>550</v>
      </c>
      <c r="J25" s="8" t="s">
        <v>551</v>
      </c>
      <c r="K25" s="53" t="str">
        <f>IF(Data.[[#This Row],[Tipo de Venta]]&lt;&gt;"POS","Atendido",IF(Data.[[#This Row],[Fecha de Instalación]]&lt;&gt;"","Atendido","Ingresado"))</f>
        <v>Atendido</v>
      </c>
      <c r="L25" s="53" t="str">
        <f>Data.[[#This Row],[Estado]]</f>
        <v>Atendido</v>
      </c>
      <c r="M25" s="8" t="s">
        <v>33</v>
      </c>
      <c r="N25" s="53" t="str">
        <f>IFERROR(VLOOKUP(Data.[[#This Row],[Código LT]],Reportería.[],20,0),"")</f>
        <v/>
      </c>
      <c r="O25" s="53" t="str">
        <f>IFERROR(VLOOKUP(Data.[[#This Row],[Código LT]],Reportería.[],5,0),"")</f>
        <v/>
      </c>
      <c r="P25" s="11">
        <f>Data.[[#This Row],[GPV Mensual LT]]/COUNTIFS(H:H,Data.[[#This Row],[Ruc]],B:B,Data.[[#This Row],[Periodo]])</f>
        <v>25000</v>
      </c>
      <c r="Q25" s="11">
        <v>25000</v>
      </c>
      <c r="R25" s="8" t="s">
        <v>258</v>
      </c>
      <c r="S25" s="53" t="str">
        <f>VLOOKUP(Data.[[#This Row],[Ejecutivo]],Productividad!D:N,11,0)</f>
        <v>74065646</v>
      </c>
      <c r="T25" s="54" t="str">
        <f>VLOOKUP(Data.[[#This Row],[DNI Ejecutivo]],Productividad!C:U,8,0)</f>
        <v>claudia.negrete@lozapay.com.pe</v>
      </c>
      <c r="U25" s="53" t="str">
        <f>VLOOKUP(Data.[[#This Row],[DNI Ejecutivo]],Productividad!C:U,4,0)</f>
        <v>Hunter</v>
      </c>
      <c r="V25" s="53" t="str">
        <f>IFERROR(VLOOKUP(Data.[[#This Row],[DNI Ejecutivo]],Ejecutivos.[],11,0),"")</f>
        <v>Norte Lapoint</v>
      </c>
      <c r="W25" s="8" t="s">
        <v>98</v>
      </c>
      <c r="X25" s="53" t="str" cm="1">
        <f t="array" ref="X25">IFERROR(_xlfn.IFS(Data.[[#This Row],[Supervisor]]="Jonathan Lapoint","Norte",Data.[[#This Row],[Supervisor]]="Jorge Fuentes","Norte"),"Lima")</f>
        <v>Norte</v>
      </c>
      <c r="Y25" s="53" t="str">
        <f>VLOOKUP(Data.[[#This Row],[Supervisor]],Ejecutivos!B:S,17,0)</f>
        <v>70430554</v>
      </c>
      <c r="Z25" s="54" t="str">
        <f>VLOOKUP(Data.[[#This Row],[DNI Supervisor]],Productividad!C:U,8,0)</f>
        <v>jlapointp@lozapay.com.pe</v>
      </c>
      <c r="AA25" s="8"/>
      <c r="AB25" s="8" t="s">
        <v>266</v>
      </c>
      <c r="AC25" s="53" t="str">
        <f>IFERROR(CONCATENATE(Data.[[#This Row],[DNI Ejecutivo]],Data.[[#This Row],[Periodo]]),"")</f>
        <v>7406564646143</v>
      </c>
      <c r="AD25" s="53" t="str">
        <f>IFERROR(VLOOKUP(Data.[[#This Row],[Código LT]],Reportería.[],10,0),"")</f>
        <v/>
      </c>
      <c r="AE25" s="53" t="str">
        <f>IFERROR(VLOOKUP(Data.[[#This Row],[Código LT]],Reportería.[],11,0),"")</f>
        <v/>
      </c>
      <c r="AF25" s="11">
        <v>7885</v>
      </c>
      <c r="AG25" s="11"/>
      <c r="AH25" s="11"/>
      <c r="AI25" s="11">
        <f>IF(TEXT(Data.[[#This Row],[Periodo]],"mmm-yy")="may-26",VLOOKUP(Data.[[#This Row],[Código]],Reportería!A:BV,57,0),0)</f>
        <v>800</v>
      </c>
      <c r="AJ25" s="11"/>
      <c r="AK25" s="11"/>
      <c r="AL25" s="11">
        <f>IF(Data.[[#This Row],[Vol M0]]="",0,0)</f>
        <v>0</v>
      </c>
      <c r="AM25" s="11">
        <f>IF(Data.[[#This Row],[Vol M0]]="",0,0)</f>
        <v>0</v>
      </c>
      <c r="AN25" s="11">
        <f>IF(Data.[[#This Row],[Vol M0]]="",0,0)</f>
        <v>0</v>
      </c>
      <c r="AO25" s="11">
        <f>IF(Data.[[#This Row],[Vol M0]]="",0,0)</f>
        <v>0</v>
      </c>
      <c r="AP25" s="11">
        <f>IF(Data.[[#This Row],[Vol M0]]="",0,0)</f>
        <v>0</v>
      </c>
      <c r="AQ25" s="11">
        <f>IF(Data.[[#This Row],[Vol M0]]="",0,0)</f>
        <v>0</v>
      </c>
      <c r="AR25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26" spans="1:44" ht="14.25" customHeight="1">
      <c r="A26" s="53" t="str">
        <f>CONCATENATE(Data.[[#This Row],[Código]],Data.[[#This Row],[Ruc]])</f>
        <v>594956810718173561</v>
      </c>
      <c r="B26" s="9">
        <v>46143</v>
      </c>
      <c r="C26" s="53" t="str">
        <f>IFERROR(VLOOKUP(Data.[[#This Row],[Código LT]],Reportería.[],71,0),"")</f>
        <v/>
      </c>
      <c r="D26" s="10">
        <f>IFERROR(VLOOKUP(Data.[[#This Row],[Código]],BV!A:C,2,0),"")</f>
        <v>46163</v>
      </c>
      <c r="E26" s="10">
        <f>IFERROR(VLOOKUP(Data.[[#This Row],[Código]],BV!A:C,3,0),"")</f>
        <v>46163</v>
      </c>
      <c r="F26" s="53">
        <v>5949568</v>
      </c>
      <c r="G26" s="8" t="s">
        <v>552</v>
      </c>
      <c r="H26" s="8">
        <v>10718173561</v>
      </c>
      <c r="I26" s="8" t="s">
        <v>553</v>
      </c>
      <c r="J26" s="8" t="s">
        <v>554</v>
      </c>
      <c r="K26" s="53" t="str">
        <f>IF(Data.[[#This Row],[Tipo de Venta]]&lt;&gt;"POS","Atendido",IF(Data.[[#This Row],[Fecha de Instalación]]&lt;&gt;"","Atendido","Ingresado"))</f>
        <v>Atendido</v>
      </c>
      <c r="L26" s="53" t="str">
        <f>Data.[[#This Row],[Estado]]</f>
        <v>Atendido</v>
      </c>
      <c r="M26" s="8" t="s">
        <v>33</v>
      </c>
      <c r="N26" s="53" t="str">
        <f>IFERROR(VLOOKUP(Data.[[#This Row],[Código LT]],Reportería.[],20,0),"")</f>
        <v/>
      </c>
      <c r="O26" s="53" t="str">
        <f>IFERROR(VLOOKUP(Data.[[#This Row],[Código LT]],Reportería.[],5,0),"")</f>
        <v/>
      </c>
      <c r="P26" s="11">
        <f>Data.[[#This Row],[GPV Mensual LT]]/COUNTIFS(H:H,Data.[[#This Row],[Ruc]],B:B,Data.[[#This Row],[Periodo]])</f>
        <v>20000</v>
      </c>
      <c r="Q26" s="11">
        <v>20000</v>
      </c>
      <c r="R26" s="8" t="s">
        <v>265</v>
      </c>
      <c r="S26" s="53" t="str">
        <f>VLOOKUP(Data.[[#This Row],[Ejecutivo]],Productividad!D:N,11,0)</f>
        <v>72641569</v>
      </c>
      <c r="T26" s="54" t="str">
        <f>VLOOKUP(Data.[[#This Row],[DNI Ejecutivo]],Productividad!C:U,8,0)</f>
        <v>katherine.zuloeta@lozapay.com.pe</v>
      </c>
      <c r="U26" s="53" t="str">
        <f>VLOOKUP(Data.[[#This Row],[DNI Ejecutivo]],Productividad!C:U,4,0)</f>
        <v>Hunter</v>
      </c>
      <c r="V26" s="53" t="str">
        <f>IFERROR(VLOOKUP(Data.[[#This Row],[DNI Ejecutivo]],Ejecutivos.[],11,0),"")</f>
        <v>Norte Lapoint</v>
      </c>
      <c r="W26" s="8" t="s">
        <v>98</v>
      </c>
      <c r="X26" s="53" t="str" cm="1">
        <f t="array" ref="X26">IFERROR(_xlfn.IFS(Data.[[#This Row],[Supervisor]]="Jonathan Lapoint","Norte",Data.[[#This Row],[Supervisor]]="Jorge Fuentes","Norte"),"Lima")</f>
        <v>Norte</v>
      </c>
      <c r="Y26" s="53" t="str">
        <f>VLOOKUP(Data.[[#This Row],[Supervisor]],Ejecutivos!B:S,17,0)</f>
        <v>70430554</v>
      </c>
      <c r="Z26" s="54" t="str">
        <f>VLOOKUP(Data.[[#This Row],[DNI Supervisor]],Productividad!C:U,8,0)</f>
        <v>jlapointp@lozapay.com.pe</v>
      </c>
      <c r="AA26" s="8"/>
      <c r="AB26" s="8" t="s">
        <v>279</v>
      </c>
      <c r="AC26" s="53" t="str">
        <f>IFERROR(CONCATENATE(Data.[[#This Row],[DNI Ejecutivo]],Data.[[#This Row],[Periodo]]),"")</f>
        <v>7264156946143</v>
      </c>
      <c r="AD26" s="53" t="str">
        <f>IFERROR(VLOOKUP(Data.[[#This Row],[Código LT]],Reportería.[],10,0),"")</f>
        <v/>
      </c>
      <c r="AE26" s="53" t="str">
        <f>IFERROR(VLOOKUP(Data.[[#This Row],[Código LT]],Reportería.[],11,0),"")</f>
        <v/>
      </c>
      <c r="AF26" s="11">
        <v>285.3</v>
      </c>
      <c r="AG26" s="11"/>
      <c r="AH26" s="11"/>
      <c r="AI26" s="11">
        <f>IF(TEXT(Data.[[#This Row],[Periodo]],"mmm-yy")="may-26",VLOOKUP(Data.[[#This Row],[Código]],Reportería!A:BV,57,0),0)</f>
        <v>0</v>
      </c>
      <c r="AJ26" s="11"/>
      <c r="AK26" s="11"/>
      <c r="AL26" s="11">
        <f>IF(Data.[[#This Row],[Vol M0]]="",0,0)</f>
        <v>0</v>
      </c>
      <c r="AM26" s="11">
        <f>IF(Data.[[#This Row],[Vol M0]]="",0,0)</f>
        <v>0</v>
      </c>
      <c r="AN26" s="11">
        <f>IF(Data.[[#This Row],[Vol M0]]="",0,0)</f>
        <v>0</v>
      </c>
      <c r="AO26" s="11">
        <f>IF(Data.[[#This Row],[Vol M0]]="",0,0)</f>
        <v>0</v>
      </c>
      <c r="AP26" s="11">
        <f>IF(Data.[[#This Row],[Vol M0]]="",0,0)</f>
        <v>0</v>
      </c>
      <c r="AQ26" s="11">
        <f>IF(Data.[[#This Row],[Vol M0]]="",0,0)</f>
        <v>0</v>
      </c>
      <c r="AR26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27" spans="1:44" ht="14.25" customHeight="1">
      <c r="A27" s="53" t="str">
        <f>CONCATENATE(Data.[[#This Row],[Código]],Data.[[#This Row],[Ruc]])</f>
        <v>105864220611972246</v>
      </c>
      <c r="B27" s="9">
        <v>46143</v>
      </c>
      <c r="C27" s="53" t="str">
        <f>IFERROR(VLOOKUP(Data.[[#This Row],[Código LT]],Reportería.[],71,0),"")</f>
        <v/>
      </c>
      <c r="D27" s="10">
        <f>IFERROR(VLOOKUP(Data.[[#This Row],[Código]],BV!A:C,2,0),"")</f>
        <v>46163</v>
      </c>
      <c r="E27" s="10">
        <f>IFERROR(VLOOKUP(Data.[[#This Row],[Código]],BV!A:C,3,0),"")</f>
        <v>46182</v>
      </c>
      <c r="F27" s="53">
        <v>1058642</v>
      </c>
      <c r="G27" s="8"/>
      <c r="H27" s="8">
        <v>20611972246</v>
      </c>
      <c r="I27" s="8" t="s">
        <v>555</v>
      </c>
      <c r="J27" s="8" t="s">
        <v>556</v>
      </c>
      <c r="K27" s="53" t="str">
        <f>IF(Data.[[#This Row],[Tipo de Venta]]&lt;&gt;"POS","Atendido",IF(Data.[[#This Row],[Fecha de Instalación]]&lt;&gt;"","Atendido","Ingresado"))</f>
        <v>Atendido</v>
      </c>
      <c r="L27" s="53" t="str">
        <f>Data.[[#This Row],[Estado]]</f>
        <v>Atendido</v>
      </c>
      <c r="M27" s="8" t="s">
        <v>33</v>
      </c>
      <c r="N27" s="53" t="str">
        <f>IFERROR(VLOOKUP(Data.[[#This Row],[Código LT]],Reportería.[],20,0),"")</f>
        <v/>
      </c>
      <c r="O27" s="53" t="str">
        <f>IFERROR(VLOOKUP(Data.[[#This Row],[Código LT]],Reportería.[],5,0),"")</f>
        <v/>
      </c>
      <c r="P27" s="11">
        <f>Data.[[#This Row],[GPV Mensual LT]]/COUNTIFS(H:H,Data.[[#This Row],[Ruc]],B:B,Data.[[#This Row],[Periodo]])</f>
        <v>45000</v>
      </c>
      <c r="Q27" s="11">
        <v>45000</v>
      </c>
      <c r="R27" s="8" t="s">
        <v>151</v>
      </c>
      <c r="S27" s="53" t="str">
        <f>VLOOKUP(Data.[[#This Row],[Ejecutivo]],Productividad!D:N,11,0)</f>
        <v>41419651</v>
      </c>
      <c r="T27" s="54" t="str">
        <f>VLOOKUP(Data.[[#This Row],[DNI Ejecutivo]],Productividad!C:U,8,0)</f>
        <v>giuliana.herena@lozapay.com.pe</v>
      </c>
      <c r="U27" s="53" t="str">
        <f>VLOOKUP(Data.[[#This Row],[DNI Ejecutivo]],Productividad!C:U,4,0)</f>
        <v>Senior</v>
      </c>
      <c r="V27" s="53" t="str">
        <f>IFERROR(VLOOKUP(Data.[[#This Row],[DNI Ejecutivo]],Ejecutivos.[],11,0),"")</f>
        <v>Lima Palomino</v>
      </c>
      <c r="W27" s="8" t="s">
        <v>35</v>
      </c>
      <c r="X27" s="53" t="str" cm="1">
        <f t="array" ref="X27">IFERROR(_xlfn.IFS(Data.[[#This Row],[Supervisor]]="Jonathan Lapoint","Norte",Data.[[#This Row],[Supervisor]]="Jorge Fuentes","Norte"),"Lima")</f>
        <v>Lima</v>
      </c>
      <c r="Y27" s="53" t="str">
        <f>VLOOKUP(Data.[[#This Row],[Supervisor]],Ejecutivos!B:S,17,0)</f>
        <v>41718975</v>
      </c>
      <c r="Z27" s="54" t="str">
        <f>VLOOKUP(Data.[[#This Row],[DNI Supervisor]],Productividad!C:U,8,0)</f>
        <v>carlos.palomino@lozapay.com.pe</v>
      </c>
      <c r="AA27" s="8"/>
      <c r="AB27" s="8" t="s">
        <v>153</v>
      </c>
      <c r="AC27" s="53" t="str">
        <f>IFERROR(CONCATENATE(Data.[[#This Row],[DNI Ejecutivo]],Data.[[#This Row],[Periodo]]),"")</f>
        <v>4141965146143</v>
      </c>
      <c r="AD27" s="53" t="str">
        <f>IFERROR(VLOOKUP(Data.[[#This Row],[Código LT]],Reportería.[],10,0),"")</f>
        <v/>
      </c>
      <c r="AE27" s="53" t="str">
        <f>IFERROR(VLOOKUP(Data.[[#This Row],[Código LT]],Reportería.[],11,0),"")</f>
        <v/>
      </c>
      <c r="AF27" s="11">
        <v>0</v>
      </c>
      <c r="AG27" s="11"/>
      <c r="AH27" s="11"/>
      <c r="AI27" s="11">
        <f>IF(TEXT(Data.[[#This Row],[Periodo]],"mmm-yy")="may-26",VLOOKUP(Data.[[#This Row],[Código]],Reportería!A:BV,57,0),0)</f>
        <v>0</v>
      </c>
      <c r="AJ27" s="11"/>
      <c r="AK27" s="11"/>
      <c r="AL27" s="11">
        <f>IF(Data.[[#This Row],[Vol M0]]="",0,0)</f>
        <v>0</v>
      </c>
      <c r="AM27" s="11">
        <f>IF(Data.[[#This Row],[Vol M0]]="",0,0)</f>
        <v>0</v>
      </c>
      <c r="AN27" s="11">
        <f>IF(Data.[[#This Row],[Vol M0]]="",0,0)</f>
        <v>0</v>
      </c>
      <c r="AO27" s="11">
        <f>IF(Data.[[#This Row],[Vol M0]]="",0,0)</f>
        <v>0</v>
      </c>
      <c r="AP27" s="11">
        <f>IF(Data.[[#This Row],[Vol M0]]="",0,0)</f>
        <v>0</v>
      </c>
      <c r="AQ27" s="11">
        <f>IF(Data.[[#This Row],[Vol M0]]="",0,0)</f>
        <v>0</v>
      </c>
      <c r="AR27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28" spans="1:44" ht="14.25" customHeight="1">
      <c r="A28" s="53" t="str">
        <f>CONCATENATE(Data.[[#This Row],[Código]],Data.[[#This Row],[Ruc]])</f>
        <v>105861620615080901</v>
      </c>
      <c r="B28" s="9">
        <v>46143</v>
      </c>
      <c r="C28" s="53" t="str">
        <f>IFERROR(VLOOKUP(Data.[[#This Row],[Código LT]],Reportería.[],71,0),"")</f>
        <v/>
      </c>
      <c r="D28" s="10">
        <f>IFERROR(VLOOKUP(Data.[[#This Row],[Código]],BV!A:C,2,0),"")</f>
        <v>46163</v>
      </c>
      <c r="E28" s="10">
        <f>IFERROR(VLOOKUP(Data.[[#This Row],[Código]],BV!A:C,3,0),"")</f>
        <v>46165</v>
      </c>
      <c r="F28" s="53">
        <v>1058616</v>
      </c>
      <c r="G28" s="8"/>
      <c r="H28" s="8">
        <v>20615080901</v>
      </c>
      <c r="I28" s="8" t="s">
        <v>557</v>
      </c>
      <c r="J28" s="8" t="s">
        <v>558</v>
      </c>
      <c r="K28" s="53" t="str">
        <f>IF(Data.[[#This Row],[Tipo de Venta]]&lt;&gt;"POS","Atendido",IF(Data.[[#This Row],[Fecha de Instalación]]&lt;&gt;"","Atendido","Ingresado"))</f>
        <v>Atendido</v>
      </c>
      <c r="L28" s="53" t="str">
        <f>Data.[[#This Row],[Estado]]</f>
        <v>Atendido</v>
      </c>
      <c r="M28" s="8" t="s">
        <v>33</v>
      </c>
      <c r="N28" s="53" t="str">
        <f>IFERROR(VLOOKUP(Data.[[#This Row],[Código LT]],Reportería.[],20,0),"")</f>
        <v/>
      </c>
      <c r="O28" s="53" t="str">
        <f>IFERROR(VLOOKUP(Data.[[#This Row],[Código LT]],Reportería.[],5,0),"")</f>
        <v/>
      </c>
      <c r="P28" s="11">
        <f>Data.[[#This Row],[GPV Mensual LT]]/COUNTIFS(H:H,Data.[[#This Row],[Ruc]],B:B,Data.[[#This Row],[Periodo]])</f>
        <v>42000</v>
      </c>
      <c r="Q28" s="11">
        <v>42000</v>
      </c>
      <c r="R28" s="8" t="s">
        <v>47</v>
      </c>
      <c r="S28" s="53" t="str">
        <f>VLOOKUP(Data.[[#This Row],[Ejecutivo]],Productividad!D:N,11,0)</f>
        <v>44881019</v>
      </c>
      <c r="T28" s="54" t="str">
        <f>VLOOKUP(Data.[[#This Row],[DNI Ejecutivo]],Productividad!C:U,8,0)</f>
        <v>jackeline.matos@lozapay.com.pe</v>
      </c>
      <c r="U28" s="53" t="str">
        <f>VLOOKUP(Data.[[#This Row],[DNI Ejecutivo]],Productividad!C:U,4,0)</f>
        <v>Senior</v>
      </c>
      <c r="V28" s="53" t="str">
        <f>IFERROR(VLOOKUP(Data.[[#This Row],[DNI Ejecutivo]],Ejecutivos.[],11,0),"")</f>
        <v>Lima Hamm</v>
      </c>
      <c r="W28" s="8" t="s">
        <v>48</v>
      </c>
      <c r="X28" s="53" t="str" cm="1">
        <f t="array" ref="X28">IFERROR(_xlfn.IFS(Data.[[#This Row],[Supervisor]]="Jonathan Lapoint","Norte",Data.[[#This Row],[Supervisor]]="Jorge Fuentes","Norte"),"Lima")</f>
        <v>Lima</v>
      </c>
      <c r="Y28" s="53" t="str">
        <f>VLOOKUP(Data.[[#This Row],[Supervisor]],Ejecutivos!B:S,17,0)</f>
        <v>44818200</v>
      </c>
      <c r="Z28" s="54" t="str">
        <f>VLOOKUP(Data.[[#This Row],[DNI Supervisor]],Productividad!C:U,8,0)</f>
        <v>hramirezp@lozapay.com.pe</v>
      </c>
      <c r="AA28" s="8"/>
      <c r="AB28" s="8" t="s">
        <v>49</v>
      </c>
      <c r="AC28" s="53" t="str">
        <f>IFERROR(CONCATENATE(Data.[[#This Row],[DNI Ejecutivo]],Data.[[#This Row],[Periodo]]),"")</f>
        <v>4488101946143</v>
      </c>
      <c r="AD28" s="53" t="str">
        <f>IFERROR(VLOOKUP(Data.[[#This Row],[Código LT]],Reportería.[],10,0),"")</f>
        <v/>
      </c>
      <c r="AE28" s="53" t="str">
        <f>IFERROR(VLOOKUP(Data.[[#This Row],[Código LT]],Reportería.[],11,0),"")</f>
        <v/>
      </c>
      <c r="AF28" s="11">
        <v>845</v>
      </c>
      <c r="AG28" s="11"/>
      <c r="AH28" s="11"/>
      <c r="AI28" s="11">
        <f>IF(TEXT(Data.[[#This Row],[Periodo]],"mmm-yy")="may-26",VLOOKUP(Data.[[#This Row],[Código]],Reportería!A:BV,57,0),0)</f>
        <v>458.4</v>
      </c>
      <c r="AJ28" s="11"/>
      <c r="AK28" s="11"/>
      <c r="AL28" s="11">
        <f>IF(Data.[[#This Row],[Vol M0]]="",0,0)</f>
        <v>0</v>
      </c>
      <c r="AM28" s="11">
        <f>IF(Data.[[#This Row],[Vol M0]]="",0,0)</f>
        <v>0</v>
      </c>
      <c r="AN28" s="11">
        <f>IF(Data.[[#This Row],[Vol M0]]="",0,0)</f>
        <v>0</v>
      </c>
      <c r="AO28" s="11">
        <f>IF(Data.[[#This Row],[Vol M0]]="",0,0)</f>
        <v>0</v>
      </c>
      <c r="AP28" s="11">
        <f>IF(Data.[[#This Row],[Vol M0]]="",0,0)</f>
        <v>0</v>
      </c>
      <c r="AQ28" s="11">
        <f>IF(Data.[[#This Row],[Vol M0]]="",0,0)</f>
        <v>0</v>
      </c>
      <c r="AR28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29" spans="1:44" ht="14.25" customHeight="1">
      <c r="A29" s="53" t="str">
        <f>CONCATENATE(Data.[[#This Row],[Código]],Data.[[#This Row],[Ruc]])</f>
        <v>105864820608874055</v>
      </c>
      <c r="B29" s="9">
        <v>46143</v>
      </c>
      <c r="C29" s="53" t="str">
        <f>IFERROR(VLOOKUP(Data.[[#This Row],[Código LT]],Reportería.[],71,0),"")</f>
        <v/>
      </c>
      <c r="D29" s="10">
        <f>IFERROR(VLOOKUP(Data.[[#This Row],[Código]],BV!A:C,2,0),"")</f>
        <v>46167</v>
      </c>
      <c r="E29" s="10">
        <f>IFERROR(VLOOKUP(Data.[[#This Row],[Código]],BV!A:C,3,0),"")</f>
        <v>46172</v>
      </c>
      <c r="F29" s="53">
        <v>1058648</v>
      </c>
      <c r="G29" s="8"/>
      <c r="H29" s="8">
        <v>20608874055</v>
      </c>
      <c r="I29" s="8" t="s">
        <v>563</v>
      </c>
      <c r="J29" s="8" t="s">
        <v>564</v>
      </c>
      <c r="K29" s="53" t="str">
        <f>IF(Data.[[#This Row],[Tipo de Venta]]&lt;&gt;"POS","Atendido",IF(Data.[[#This Row],[Fecha de Instalación]]&lt;&gt;"","Atendido","Ingresado"))</f>
        <v>Atendido</v>
      </c>
      <c r="L29" s="53" t="str">
        <f>Data.[[#This Row],[Estado]]</f>
        <v>Atendido</v>
      </c>
      <c r="M29" s="8" t="s">
        <v>33</v>
      </c>
      <c r="N29" s="53" t="str">
        <f>IFERROR(VLOOKUP(Data.[[#This Row],[Código LT]],Reportería.[],20,0),"")</f>
        <v/>
      </c>
      <c r="O29" s="53" t="str">
        <f>IFERROR(VLOOKUP(Data.[[#This Row],[Código LT]],Reportería.[],5,0),"")</f>
        <v/>
      </c>
      <c r="P29" s="11">
        <f>Data.[[#This Row],[GPV Mensual LT]]/COUNTIFS(H:H,Data.[[#This Row],[Ruc]],B:B,Data.[[#This Row],[Periodo]])</f>
        <v>40000</v>
      </c>
      <c r="Q29" s="11">
        <v>80000</v>
      </c>
      <c r="R29" s="8" t="s">
        <v>47</v>
      </c>
      <c r="S29" s="53" t="str">
        <f>VLOOKUP(Data.[[#This Row],[Ejecutivo]],Productividad!D:N,11,0)</f>
        <v>44881019</v>
      </c>
      <c r="T29" s="54" t="str">
        <f>VLOOKUP(Data.[[#This Row],[DNI Ejecutivo]],Productividad!C:U,8,0)</f>
        <v>jackeline.matos@lozapay.com.pe</v>
      </c>
      <c r="U29" s="53" t="str">
        <f>VLOOKUP(Data.[[#This Row],[DNI Ejecutivo]],Productividad!C:U,4,0)</f>
        <v>Senior</v>
      </c>
      <c r="V29" s="53" t="str">
        <f>IFERROR(VLOOKUP(Data.[[#This Row],[DNI Ejecutivo]],Ejecutivos.[],11,0),"")</f>
        <v>Lima Hamm</v>
      </c>
      <c r="W29" s="8" t="s">
        <v>48</v>
      </c>
      <c r="X29" s="53" t="str" cm="1">
        <f t="array" ref="X29">IFERROR(_xlfn.IFS(Data.[[#This Row],[Supervisor]]="Jonathan Lapoint","Norte",Data.[[#This Row],[Supervisor]]="Jorge Fuentes","Norte"),"Lima")</f>
        <v>Lima</v>
      </c>
      <c r="Y29" s="53" t="str">
        <f>VLOOKUP(Data.[[#This Row],[Supervisor]],Ejecutivos!B:S,17,0)</f>
        <v>44818200</v>
      </c>
      <c r="Z29" s="54" t="str">
        <f>VLOOKUP(Data.[[#This Row],[DNI Supervisor]],Productividad!C:U,8,0)</f>
        <v>hramirezp@lozapay.com.pe</v>
      </c>
      <c r="AA29" s="8"/>
      <c r="AB29" s="8" t="s">
        <v>49</v>
      </c>
      <c r="AC29" s="53" t="str">
        <f>IFERROR(CONCATENATE(Data.[[#This Row],[DNI Ejecutivo]],Data.[[#This Row],[Periodo]]),"")</f>
        <v>4488101946143</v>
      </c>
      <c r="AD29" s="53" t="str">
        <f>IFERROR(VLOOKUP(Data.[[#This Row],[Código LT]],Reportería.[],10,0),"")</f>
        <v/>
      </c>
      <c r="AE29" s="53" t="str">
        <f>IFERROR(VLOOKUP(Data.[[#This Row],[Código LT]],Reportería.[],11,0),"")</f>
        <v/>
      </c>
      <c r="AF29" s="11">
        <v>0</v>
      </c>
      <c r="AG29" s="11"/>
      <c r="AH29" s="11"/>
      <c r="AI29" s="11">
        <f>IF(TEXT(Data.[[#This Row],[Periodo]],"mmm-yy")="may-26",VLOOKUP(Data.[[#This Row],[Código]],Reportería!A:BV,57,0),0)</f>
        <v>0</v>
      </c>
      <c r="AJ29" s="11"/>
      <c r="AK29" s="11"/>
      <c r="AL29" s="11">
        <f>IF(Data.[[#This Row],[Vol M0]]="",0,0)</f>
        <v>0</v>
      </c>
      <c r="AM29" s="11">
        <f>IF(Data.[[#This Row],[Vol M0]]="",0,0)</f>
        <v>0</v>
      </c>
      <c r="AN29" s="11">
        <f>IF(Data.[[#This Row],[Vol M0]]="",0,0)</f>
        <v>0</v>
      </c>
      <c r="AO29" s="11">
        <f>IF(Data.[[#This Row],[Vol M0]]="",0,0)</f>
        <v>0</v>
      </c>
      <c r="AP29" s="11">
        <f>IF(Data.[[#This Row],[Vol M0]]="",0,0)</f>
        <v>0</v>
      </c>
      <c r="AQ29" s="11">
        <f>IF(Data.[[#This Row],[Vol M0]]="",0,0)</f>
        <v>0</v>
      </c>
      <c r="AR29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30" spans="1:44" ht="14.25" customHeight="1">
      <c r="A30" s="53" t="str">
        <f>CONCATENATE(Data.[[#This Row],[Código]],Data.[[#This Row],[Ruc]])</f>
        <v>105866220608874055</v>
      </c>
      <c r="B30" s="9">
        <v>46143</v>
      </c>
      <c r="C30" s="53" t="str">
        <f>IFERROR(VLOOKUP(Data.[[#This Row],[Código LT]],Reportería.[],71,0),"")</f>
        <v/>
      </c>
      <c r="D30" s="10">
        <f>IFERROR(VLOOKUP(Data.[[#This Row],[Código]],BV!A:C,2,0),"")</f>
        <v>46167</v>
      </c>
      <c r="E30" s="10">
        <f>IFERROR(VLOOKUP(Data.[[#This Row],[Código]],BV!A:C,3,0),"")</f>
        <v>46172</v>
      </c>
      <c r="F30" s="53">
        <v>1058662</v>
      </c>
      <c r="G30" s="8"/>
      <c r="H30" s="8">
        <v>20608874055</v>
      </c>
      <c r="I30" s="8" t="s">
        <v>563</v>
      </c>
      <c r="J30" s="8" t="s">
        <v>565</v>
      </c>
      <c r="K30" s="53" t="str">
        <f>IF(Data.[[#This Row],[Tipo de Venta]]&lt;&gt;"POS","Atendido",IF(Data.[[#This Row],[Fecha de Instalación]]&lt;&gt;"","Atendido","Ingresado"))</f>
        <v>Atendido</v>
      </c>
      <c r="L30" s="55" t="str">
        <f>Data.[[#This Row],[Estado]]</f>
        <v>Atendido</v>
      </c>
      <c r="M30" s="8" t="s">
        <v>33</v>
      </c>
      <c r="N30" s="55" t="str">
        <f>IFERROR(VLOOKUP(Data.[[#This Row],[Código LT]],Reportería.[],20,0),"")</f>
        <v/>
      </c>
      <c r="O30" s="55" t="str">
        <f>IFERROR(VLOOKUP(Data.[[#This Row],[Código LT]],Reportería.[],5,0),"")</f>
        <v/>
      </c>
      <c r="P30" s="13">
        <f>Data.[[#This Row],[GPV Mensual LT]]/COUNTIFS(H:H,Data.[[#This Row],[Ruc]],B:B,Data.[[#This Row],[Periodo]])</f>
        <v>40000</v>
      </c>
      <c r="Q30" s="11">
        <v>80000</v>
      </c>
      <c r="R30" s="8" t="s">
        <v>47</v>
      </c>
      <c r="S30" s="55" t="str">
        <f>VLOOKUP(Data.[[#This Row],[Ejecutivo]],Productividad!D:N,11,0)</f>
        <v>44881019</v>
      </c>
      <c r="T30" s="56" t="str">
        <f>VLOOKUP(Data.[[#This Row],[DNI Ejecutivo]],Productividad!C:U,8,0)</f>
        <v>jackeline.matos@lozapay.com.pe</v>
      </c>
      <c r="U30" s="55" t="str">
        <f>VLOOKUP(Data.[[#This Row],[DNI Ejecutivo]],Productividad!C:U,4,0)</f>
        <v>Senior</v>
      </c>
      <c r="V30" s="53" t="str">
        <f>IFERROR(VLOOKUP(Data.[[#This Row],[DNI Ejecutivo]],Ejecutivos.[],11,0),"")</f>
        <v>Lima Hamm</v>
      </c>
      <c r="W30" s="8" t="s">
        <v>48</v>
      </c>
      <c r="X30" s="53" t="str" cm="1">
        <f t="array" ref="X30">IFERROR(_xlfn.IFS(Data.[[#This Row],[Supervisor]]="Jonathan Lapoint","Norte",Data.[[#This Row],[Supervisor]]="Jorge Fuentes","Norte"),"Lima")</f>
        <v>Lima</v>
      </c>
      <c r="Y30" s="55" t="str">
        <f>VLOOKUP(Data.[[#This Row],[Supervisor]],Ejecutivos!B:S,17,0)</f>
        <v>44818200</v>
      </c>
      <c r="Z30" s="56" t="str">
        <f>VLOOKUP(Data.[[#This Row],[DNI Supervisor]],Productividad!C:U,8,0)</f>
        <v>hramirezp@lozapay.com.pe</v>
      </c>
      <c r="AA30" s="8"/>
      <c r="AB30" s="8" t="s">
        <v>49</v>
      </c>
      <c r="AC30" s="53" t="str">
        <f>IFERROR(CONCATENATE(Data.[[#This Row],[DNI Ejecutivo]],Data.[[#This Row],[Periodo]]),"")</f>
        <v>4488101946143</v>
      </c>
      <c r="AD30" s="53" t="str">
        <f>IFERROR(VLOOKUP(Data.[[#This Row],[Código LT]],Reportería.[],10,0),"")</f>
        <v/>
      </c>
      <c r="AE30" s="53" t="str">
        <f>IFERROR(VLOOKUP(Data.[[#This Row],[Código LT]],Reportería.[],11,0),"")</f>
        <v/>
      </c>
      <c r="AF30" s="11">
        <v>0</v>
      </c>
      <c r="AG30" s="11"/>
      <c r="AH30" s="11"/>
      <c r="AI30" s="11">
        <f>IF(TEXT(Data.[[#This Row],[Periodo]],"mmm-yy")="may-26",VLOOKUP(Data.[[#This Row],[Código]],Reportería!A:BV,57,0),0)</f>
        <v>0</v>
      </c>
      <c r="AJ30" s="11"/>
      <c r="AK30" s="11"/>
      <c r="AL30" s="11">
        <f>IF(Data.[[#This Row],[Vol M0]]="",0,0)</f>
        <v>0</v>
      </c>
      <c r="AM30" s="11">
        <f>IF(Data.[[#This Row],[Vol M0]]="",0,0)</f>
        <v>0</v>
      </c>
      <c r="AN30" s="11">
        <f>IF(Data.[[#This Row],[Vol M0]]="",0,0)</f>
        <v>0</v>
      </c>
      <c r="AO30" s="11">
        <f>IF(Data.[[#This Row],[Vol M0]]="",0,0)</f>
        <v>0</v>
      </c>
      <c r="AP30" s="11">
        <f>IF(Data.[[#This Row],[Vol M0]]="",0,0)</f>
        <v>0</v>
      </c>
      <c r="AQ30" s="11">
        <f>IF(Data.[[#This Row],[Vol M0]]="",0,0)</f>
        <v>0</v>
      </c>
      <c r="AR30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31" spans="1:44" ht="14.25" customHeight="1">
      <c r="A31" s="53" t="str">
        <f>CONCATENATE(Data.[[#This Row],[Código]],Data.[[#This Row],[Ruc]])</f>
        <v>595125620604305102</v>
      </c>
      <c r="B31" s="9">
        <v>46143</v>
      </c>
      <c r="C31" s="53" t="str">
        <f>IFERROR(VLOOKUP(Data.[[#This Row],[Código LT]],Reportería.[],71,0),"")</f>
        <v/>
      </c>
      <c r="D31" s="10" t="str">
        <f>IFERROR(VLOOKUP(Data.[[#This Row],[Código]],BV!A:C,2,0),"")</f>
        <v/>
      </c>
      <c r="E31" s="10" t="str">
        <f>IFERROR(VLOOKUP(Data.[[#This Row],[Código]],BV!A:C,3,0),"")</f>
        <v/>
      </c>
      <c r="F31" s="53">
        <v>5951256</v>
      </c>
      <c r="G31" s="8">
        <v>80290684</v>
      </c>
      <c r="H31" s="8">
        <v>20604305102</v>
      </c>
      <c r="I31" s="8" t="s">
        <v>605</v>
      </c>
      <c r="J31" s="8" t="s">
        <v>606</v>
      </c>
      <c r="K31" s="53" t="str">
        <f>IF(Data.[[#This Row],[Tipo de Venta]]&lt;&gt;"POS","Atendido",IF(Data.[[#This Row],[Fecha de Instalación]]&lt;&gt;"","Atendido","Ingresado"))</f>
        <v>Atendido</v>
      </c>
      <c r="L31" s="53" t="str">
        <f>Data.[[#This Row],[Estado]]</f>
        <v>Atendido</v>
      </c>
      <c r="M31" s="53" t="s">
        <v>619</v>
      </c>
      <c r="N31" s="53" t="str">
        <f>IFERROR(VLOOKUP(Data.[[#This Row],[Código LT]],Reportería.[],20,0),"")</f>
        <v/>
      </c>
      <c r="O31" s="53" t="str">
        <f>IFERROR(VLOOKUP(Data.[[#This Row],[Código LT]],Reportería.[],5,0),"")</f>
        <v/>
      </c>
      <c r="P31" s="11">
        <f>Data.[[#This Row],[GPV Mensual LT]]/COUNTIFS(H:H,Data.[[#This Row],[Ruc]],B:B,Data.[[#This Row],[Periodo]])</f>
        <v>30000</v>
      </c>
      <c r="Q31" s="11">
        <v>30000</v>
      </c>
      <c r="R31" s="8" t="s">
        <v>278</v>
      </c>
      <c r="S31" s="53" t="str">
        <f>VLOOKUP(Data.[[#This Row],[Ejecutivo]],Productividad!D:N,11,0)</f>
        <v>42858532</v>
      </c>
      <c r="T31" s="54" t="str">
        <f>VLOOKUP(Data.[[#This Row],[DNI Ejecutivo]],Productividad!C:U,8,0)</f>
        <v>marlon.martinez@lozapay.com.pe</v>
      </c>
      <c r="U31" s="53" t="str">
        <f>VLOOKUP(Data.[[#This Row],[DNI Ejecutivo]],Productividad!C:U,4,0)</f>
        <v>Hunter</v>
      </c>
      <c r="V31" s="53" t="str">
        <f>IFERROR(VLOOKUP(Data.[[#This Row],[DNI Ejecutivo]],Ejecutivos.[],11,0),"")</f>
        <v>Norte Lapoint</v>
      </c>
      <c r="W31" s="8" t="s">
        <v>98</v>
      </c>
      <c r="X31" s="53" t="str" cm="1">
        <f t="array" ref="X31">IFERROR(_xlfn.IFS(Data.[[#This Row],[Supervisor]]="Jonathan Lapoint","Norte",Data.[[#This Row],[Supervisor]]="Jorge Fuentes","Norte"),"Lima")</f>
        <v>Norte</v>
      </c>
      <c r="Y31" s="53" t="str">
        <f>VLOOKUP(Data.[[#This Row],[Supervisor]],Ejecutivos!B:S,17,0)</f>
        <v>70430554</v>
      </c>
      <c r="Z31" s="54" t="str">
        <f>VLOOKUP(Data.[[#This Row],[DNI Supervisor]],Productividad!C:U,8,0)</f>
        <v>jlapointp@lozapay.com.pe</v>
      </c>
      <c r="AA31" s="8"/>
      <c r="AB31" s="8" t="s">
        <v>279</v>
      </c>
      <c r="AC31" s="53" t="str">
        <f>IFERROR(CONCATENATE(Data.[[#This Row],[DNI Ejecutivo]],Data.[[#This Row],[Periodo]]),"")</f>
        <v>4285853246143</v>
      </c>
      <c r="AD31" s="53" t="str">
        <f>IFERROR(VLOOKUP(Data.[[#This Row],[Código LT]],Reportería.[],10,0),"")</f>
        <v/>
      </c>
      <c r="AE31" s="53" t="str">
        <f>IFERROR(VLOOKUP(Data.[[#This Row],[Código LT]],Reportería.[],11,0),"")</f>
        <v/>
      </c>
      <c r="AF31" s="11">
        <v>0</v>
      </c>
      <c r="AG31" s="11"/>
      <c r="AH31" s="11"/>
      <c r="AI31" s="11">
        <f>IF(TEXT(Data.[[#This Row],[Periodo]],"mmm-yy")="may-26",VLOOKUP(Data.[[#This Row],[Código]],Reportería!A:BV,57,0),0)</f>
        <v>2961.4333333333338</v>
      </c>
      <c r="AJ31" s="11"/>
      <c r="AK31" s="11"/>
      <c r="AL31" s="11">
        <f>IF(Data.[[#This Row],[Vol M0]]="",0,0)</f>
        <v>0</v>
      </c>
      <c r="AM31" s="11">
        <f>IF(Data.[[#This Row],[Vol M0]]="",0,0)</f>
        <v>0</v>
      </c>
      <c r="AN31" s="11">
        <f>IF(Data.[[#This Row],[Vol M0]]="",0,0)</f>
        <v>0</v>
      </c>
      <c r="AO31" s="11">
        <f>IF(Data.[[#This Row],[Vol M0]]="",0,0)</f>
        <v>0</v>
      </c>
      <c r="AP31" s="11">
        <f>IF(Data.[[#This Row],[Vol M0]]="",0,0)</f>
        <v>0</v>
      </c>
      <c r="AQ31" s="11">
        <f>IF(Data.[[#This Row],[Vol M0]]="",0,0)</f>
        <v>0</v>
      </c>
      <c r="AR31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32" spans="1:44" ht="14.25" customHeight="1">
      <c r="A32" s="53" t="str">
        <f>CONCATENATE(Data.[[#This Row],[Código]],Data.[[#This Row],[Ruc]])</f>
        <v>595121720603692421</v>
      </c>
      <c r="B32" s="9">
        <v>46143</v>
      </c>
      <c r="C32" s="53" t="str">
        <f>IFERROR(VLOOKUP(Data.[[#This Row],[Código LT]],Reportería.[],71,0),"")</f>
        <v/>
      </c>
      <c r="D32" s="10">
        <f>IFERROR(VLOOKUP(Data.[[#This Row],[Código]],BV!A:C,2,0),"")</f>
        <v>46167</v>
      </c>
      <c r="E32" s="10">
        <f>IFERROR(VLOOKUP(Data.[[#This Row],[Código]],BV!A:C,3,0),"")</f>
        <v>46174</v>
      </c>
      <c r="F32" s="53">
        <v>5951217</v>
      </c>
      <c r="G32" s="8" t="s">
        <v>607</v>
      </c>
      <c r="H32" s="8">
        <v>20603692421</v>
      </c>
      <c r="I32" s="8" t="s">
        <v>608</v>
      </c>
      <c r="J32" s="8" t="s">
        <v>609</v>
      </c>
      <c r="K32" s="53" t="str">
        <f>IF(Data.[[#This Row],[Tipo de Venta]]&lt;&gt;"POS","Atendido",IF(Data.[[#This Row],[Fecha de Instalación]]&lt;&gt;"","Atendido","Ingresado"))</f>
        <v>Atendido</v>
      </c>
      <c r="L32" s="53" t="str">
        <f>Data.[[#This Row],[Estado]]</f>
        <v>Atendido</v>
      </c>
      <c r="M32" s="8" t="s">
        <v>33</v>
      </c>
      <c r="N32" s="53" t="str">
        <f>IFERROR(VLOOKUP(Data.[[#This Row],[Código LT]],Reportería.[],20,0),"")</f>
        <v/>
      </c>
      <c r="O32" s="53" t="str">
        <f>IFERROR(VLOOKUP(Data.[[#This Row],[Código LT]],Reportería.[],5,0),"")</f>
        <v/>
      </c>
      <c r="P32" s="11">
        <f>Data.[[#This Row],[GPV Mensual LT]]/COUNTIFS(H:H,Data.[[#This Row],[Ruc]],B:B,Data.[[#This Row],[Periodo]])</f>
        <v>15000</v>
      </c>
      <c r="Q32" s="11">
        <v>30000</v>
      </c>
      <c r="R32" s="8" t="s">
        <v>63</v>
      </c>
      <c r="S32" s="53" t="str">
        <f>VLOOKUP(Data.[[#This Row],[Ejecutivo]],Productividad!D:N,11,0)</f>
        <v>70151010</v>
      </c>
      <c r="T32" s="54" t="str">
        <f>VLOOKUP(Data.[[#This Row],[DNI Ejecutivo]],Productividad!C:U,8,0)</f>
        <v>richard.benites@lozapay.com.pe</v>
      </c>
      <c r="U32" s="53" t="str">
        <f>VLOOKUP(Data.[[#This Row],[DNI Ejecutivo]],Productividad!C:U,4,0)</f>
        <v>Hunter</v>
      </c>
      <c r="V32" s="53" t="str">
        <f>IFERROR(VLOOKUP(Data.[[#This Row],[DNI Ejecutivo]],Ejecutivos.[],11,0),"")</f>
        <v>Lima Jean</v>
      </c>
      <c r="W32" s="8" t="s">
        <v>64</v>
      </c>
      <c r="X32" s="53" t="str" cm="1">
        <f t="array" ref="X32">IFERROR(_xlfn.IFS(Data.[[#This Row],[Supervisor]]="Jonathan Lapoint","Norte",Data.[[#This Row],[Supervisor]]="Jorge Fuentes","Norte"),"Lima")</f>
        <v>Lima</v>
      </c>
      <c r="Y32" s="53" t="str">
        <f>VLOOKUP(Data.[[#This Row],[Supervisor]],Ejecutivos!B:S,17,0)</f>
        <v>47688341</v>
      </c>
      <c r="Z32" s="54" t="str">
        <f>VLOOKUP(Data.[[#This Row],[DNI Supervisor]],Productividad!C:U,8,0)</f>
        <v>jaguilar@lozapay.com.pe</v>
      </c>
      <c r="AA32" s="8"/>
      <c r="AB32" s="8" t="s">
        <v>65</v>
      </c>
      <c r="AC32" s="53" t="str">
        <f>IFERROR(CONCATENATE(Data.[[#This Row],[DNI Ejecutivo]],Data.[[#This Row],[Periodo]]),"")</f>
        <v>7015101046143</v>
      </c>
      <c r="AD32" s="53" t="str">
        <f>IFERROR(VLOOKUP(Data.[[#This Row],[Código LT]],Reportería.[],10,0),"")</f>
        <v/>
      </c>
      <c r="AE32" s="53" t="str">
        <f>IFERROR(VLOOKUP(Data.[[#This Row],[Código LT]],Reportería.[],11,0),"")</f>
        <v/>
      </c>
      <c r="AF32" s="11">
        <v>0</v>
      </c>
      <c r="AG32" s="11"/>
      <c r="AH32" s="11"/>
      <c r="AI32" s="11">
        <f>IF(TEXT(Data.[[#This Row],[Periodo]],"mmm-yy")="may-26",VLOOKUP(Data.[[#This Row],[Código]],Reportería!A:BV,57,0),0)</f>
        <v>0</v>
      </c>
      <c r="AJ32" s="11"/>
      <c r="AK32" s="11"/>
      <c r="AL32" s="11">
        <f>IF(Data.[[#This Row],[Vol M0]]="",0,0)</f>
        <v>0</v>
      </c>
      <c r="AM32" s="11">
        <f>IF(Data.[[#This Row],[Vol M0]]="",0,0)</f>
        <v>0</v>
      </c>
      <c r="AN32" s="11">
        <f>IF(Data.[[#This Row],[Vol M0]]="",0,0)</f>
        <v>0</v>
      </c>
      <c r="AO32" s="11">
        <f>IF(Data.[[#This Row],[Vol M0]]="",0,0)</f>
        <v>0</v>
      </c>
      <c r="AP32" s="11">
        <f>IF(Data.[[#This Row],[Vol M0]]="",0,0)</f>
        <v>0</v>
      </c>
      <c r="AQ32" s="11">
        <f>IF(Data.[[#This Row],[Vol M0]]="",0,0)</f>
        <v>0</v>
      </c>
      <c r="AR32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33" spans="1:44" ht="14.25" customHeight="1">
      <c r="A33" s="53" t="str">
        <f>CONCATENATE(Data.[[#This Row],[Código]],Data.[[#This Row],[Ruc]])</f>
        <v>595123920603692421</v>
      </c>
      <c r="B33" s="9">
        <v>46143</v>
      </c>
      <c r="C33" s="53" t="str">
        <f>IFERROR(VLOOKUP(Data.[[#This Row],[Código LT]],Reportería.[],71,0),"")</f>
        <v/>
      </c>
      <c r="D33" s="10">
        <f>IFERROR(VLOOKUP(Data.[[#This Row],[Código]],BV!A:C,2,0),"")</f>
        <v>46167</v>
      </c>
      <c r="E33" s="10">
        <f>IFERROR(VLOOKUP(Data.[[#This Row],[Código]],BV!A:C,3,0),"")</f>
        <v>46174</v>
      </c>
      <c r="F33" s="53">
        <v>5951239</v>
      </c>
      <c r="G33" s="8" t="s">
        <v>610</v>
      </c>
      <c r="H33" s="8">
        <v>20603692421</v>
      </c>
      <c r="I33" s="8" t="s">
        <v>608</v>
      </c>
      <c r="J33" s="8" t="s">
        <v>611</v>
      </c>
      <c r="K33" s="53" t="str">
        <f>IF(Data.[[#This Row],[Tipo de Venta]]&lt;&gt;"POS","Atendido",IF(Data.[[#This Row],[Fecha de Instalación]]&lt;&gt;"","Atendido","Ingresado"))</f>
        <v>Atendido</v>
      </c>
      <c r="L33" s="53" t="str">
        <f>Data.[[#This Row],[Estado]]</f>
        <v>Atendido</v>
      </c>
      <c r="M33" s="8" t="s">
        <v>33</v>
      </c>
      <c r="N33" s="53" t="str">
        <f>IFERROR(VLOOKUP(Data.[[#This Row],[Código LT]],Reportería.[],20,0),"")</f>
        <v/>
      </c>
      <c r="O33" s="53" t="str">
        <f>IFERROR(VLOOKUP(Data.[[#This Row],[Código LT]],Reportería.[],5,0),"")</f>
        <v/>
      </c>
      <c r="P33" s="11">
        <f>Data.[[#This Row],[GPV Mensual LT]]/COUNTIFS(H:H,Data.[[#This Row],[Ruc]],B:B,Data.[[#This Row],[Periodo]])</f>
        <v>15000</v>
      </c>
      <c r="Q33" s="11">
        <v>30000</v>
      </c>
      <c r="R33" s="8" t="s">
        <v>63</v>
      </c>
      <c r="S33" s="53" t="str">
        <f>VLOOKUP(Data.[[#This Row],[Ejecutivo]],Productividad!D:N,11,0)</f>
        <v>70151010</v>
      </c>
      <c r="T33" s="54" t="str">
        <f>VLOOKUP(Data.[[#This Row],[DNI Ejecutivo]],Productividad!C:U,8,0)</f>
        <v>richard.benites@lozapay.com.pe</v>
      </c>
      <c r="U33" s="53" t="str">
        <f>VLOOKUP(Data.[[#This Row],[DNI Ejecutivo]],Productividad!C:U,4,0)</f>
        <v>Hunter</v>
      </c>
      <c r="V33" s="53" t="str">
        <f>IFERROR(VLOOKUP(Data.[[#This Row],[DNI Ejecutivo]],Ejecutivos.[],11,0),"")</f>
        <v>Lima Jean</v>
      </c>
      <c r="W33" s="8" t="s">
        <v>64</v>
      </c>
      <c r="X33" s="53" t="str" cm="1">
        <f t="array" ref="X33">IFERROR(_xlfn.IFS(Data.[[#This Row],[Supervisor]]="Jonathan Lapoint","Norte",Data.[[#This Row],[Supervisor]]="Jorge Fuentes","Norte"),"Lima")</f>
        <v>Lima</v>
      </c>
      <c r="Y33" s="53" t="str">
        <f>VLOOKUP(Data.[[#This Row],[Supervisor]],Ejecutivos!B:S,17,0)</f>
        <v>47688341</v>
      </c>
      <c r="Z33" s="54" t="str">
        <f>VLOOKUP(Data.[[#This Row],[DNI Supervisor]],Productividad!C:U,8,0)</f>
        <v>jaguilar@lozapay.com.pe</v>
      </c>
      <c r="AA33" s="8"/>
      <c r="AB33" s="8" t="s">
        <v>65</v>
      </c>
      <c r="AC33" s="53" t="str">
        <f>IFERROR(CONCATENATE(Data.[[#This Row],[DNI Ejecutivo]],Data.[[#This Row],[Periodo]]),"")</f>
        <v>7015101046143</v>
      </c>
      <c r="AD33" s="53" t="str">
        <f>IFERROR(VLOOKUP(Data.[[#This Row],[Código LT]],Reportería.[],10,0),"")</f>
        <v/>
      </c>
      <c r="AE33" s="53" t="str">
        <f>IFERROR(VLOOKUP(Data.[[#This Row],[Código LT]],Reportería.[],11,0),"")</f>
        <v/>
      </c>
      <c r="AF33" s="11">
        <v>0</v>
      </c>
      <c r="AG33" s="11"/>
      <c r="AH33" s="11"/>
      <c r="AI33" s="11">
        <f>IF(TEXT(Data.[[#This Row],[Periodo]],"mmm-yy")="may-26",VLOOKUP(Data.[[#This Row],[Código]],Reportería!A:BV,57,0),0)</f>
        <v>597</v>
      </c>
      <c r="AJ33" s="11"/>
      <c r="AK33" s="11"/>
      <c r="AL33" s="11">
        <f>IF(Data.[[#This Row],[Vol M0]]="",0,0)</f>
        <v>0</v>
      </c>
      <c r="AM33" s="11">
        <f>IF(Data.[[#This Row],[Vol M0]]="",0,0)</f>
        <v>0</v>
      </c>
      <c r="AN33" s="11">
        <f>IF(Data.[[#This Row],[Vol M0]]="",0,0)</f>
        <v>0</v>
      </c>
      <c r="AO33" s="11">
        <f>IF(Data.[[#This Row],[Vol M0]]="",0,0)</f>
        <v>0</v>
      </c>
      <c r="AP33" s="11">
        <f>IF(Data.[[#This Row],[Vol M0]]="",0,0)</f>
        <v>0</v>
      </c>
      <c r="AQ33" s="11">
        <f>IF(Data.[[#This Row],[Vol M0]]="",0,0)</f>
        <v>0</v>
      </c>
      <c r="AR33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34" spans="1:44" ht="14.25" customHeight="1">
      <c r="A34" s="53" t="str">
        <f>CONCATENATE(Data.[[#This Row],[Código]],Data.[[#This Row],[Ruc]])</f>
        <v>595153220611895110</v>
      </c>
      <c r="B34" s="9">
        <v>46143</v>
      </c>
      <c r="C34" s="53" t="str">
        <f>IFERROR(VLOOKUP(Data.[[#This Row],[Código LT]],Reportería.[],71,0),"")</f>
        <v/>
      </c>
      <c r="D34" s="10">
        <f>IFERROR(VLOOKUP(Data.[[#This Row],[Código]],BV!A:C,2,0),"")</f>
        <v>46168</v>
      </c>
      <c r="E34" s="10">
        <f>IFERROR(VLOOKUP(Data.[[#This Row],[Código]],BV!A:C,3,0),"")</f>
        <v>46168</v>
      </c>
      <c r="F34" s="53">
        <v>5951532</v>
      </c>
      <c r="G34" s="8" t="s">
        <v>612</v>
      </c>
      <c r="H34" s="8">
        <v>20611895110</v>
      </c>
      <c r="I34" s="8" t="s">
        <v>613</v>
      </c>
      <c r="J34" s="8" t="s">
        <v>614</v>
      </c>
      <c r="K34" s="53" t="str">
        <f>IF(Data.[[#This Row],[Tipo de Venta]]&lt;&gt;"POS","Atendido",IF(Data.[[#This Row],[Fecha de Instalación]]&lt;&gt;"","Atendido","Ingresado"))</f>
        <v>Atendido</v>
      </c>
      <c r="L34" s="53" t="str">
        <f>Data.[[#This Row],[Estado]]</f>
        <v>Atendido</v>
      </c>
      <c r="M34" s="8" t="s">
        <v>33</v>
      </c>
      <c r="N34" s="53" t="str">
        <f>IFERROR(VLOOKUP(Data.[[#This Row],[Código LT]],Reportería.[],20,0),"")</f>
        <v/>
      </c>
      <c r="O34" s="53" t="str">
        <f>IFERROR(VLOOKUP(Data.[[#This Row],[Código LT]],Reportería.[],5,0),"")</f>
        <v/>
      </c>
      <c r="P34" s="11">
        <f>Data.[[#This Row],[GPV Mensual LT]]/COUNTIFS(H:H,Data.[[#This Row],[Ruc]],B:B,Data.[[#This Row],[Periodo]])</f>
        <v>50000</v>
      </c>
      <c r="Q34" s="11">
        <v>50000</v>
      </c>
      <c r="R34" s="8" t="s">
        <v>319</v>
      </c>
      <c r="S34" s="53" t="str">
        <f>VLOOKUP(Data.[[#This Row],[Ejecutivo]],Productividad!D:N,11,0)</f>
        <v>75167462</v>
      </c>
      <c r="T34" s="54" t="str">
        <f>VLOOKUP(Data.[[#This Row],[DNI Ejecutivo]],Productividad!C:U,8,0)</f>
        <v>milagros.zuniga@lozapay.com.pe</v>
      </c>
      <c r="U34" s="53" t="str">
        <f>VLOOKUP(Data.[[#This Row],[DNI Ejecutivo]],Productividad!C:U,4,0)</f>
        <v>Hunter</v>
      </c>
      <c r="V34" s="53" t="str">
        <f>IFERROR(VLOOKUP(Data.[[#This Row],[DNI Ejecutivo]],Ejecutivos.[],11,0),"")</f>
        <v>Norte Fuentes</v>
      </c>
      <c r="W34" s="8" t="s">
        <v>42</v>
      </c>
      <c r="X34" s="53" t="str" cm="1">
        <f t="array" ref="X34">IFERROR(_xlfn.IFS(Data.[[#This Row],[Supervisor]]="Jonathan Lapoint","Norte",Data.[[#This Row],[Supervisor]]="Jorge Fuentes","Norte"),"Lima")</f>
        <v>Norte</v>
      </c>
      <c r="Y34" s="53" t="str">
        <f>VLOOKUP(Data.[[#This Row],[Supervisor]],Ejecutivos!B:S,17,0)</f>
        <v>70059865</v>
      </c>
      <c r="Z34" s="54" t="str">
        <f>VLOOKUP(Data.[[#This Row],[DNI Supervisor]],Productividad!C:U,8,0)</f>
        <v>jfuentes@lozapay.com.pe</v>
      </c>
      <c r="AA34" s="8"/>
      <c r="AB34" s="8" t="s">
        <v>320</v>
      </c>
      <c r="AC34" s="53" t="str">
        <f>IFERROR(CONCATENATE(Data.[[#This Row],[DNI Ejecutivo]],Data.[[#This Row],[Periodo]]),"")</f>
        <v>7516746246143</v>
      </c>
      <c r="AD34" s="53" t="str">
        <f>IFERROR(VLOOKUP(Data.[[#This Row],[Código LT]],Reportería.[],10,0),"")</f>
        <v/>
      </c>
      <c r="AE34" s="53" t="str">
        <f>IFERROR(VLOOKUP(Data.[[#This Row],[Código LT]],Reportería.[],11,0),"")</f>
        <v/>
      </c>
      <c r="AF34" s="11">
        <v>2792.7</v>
      </c>
      <c r="AG34" s="11"/>
      <c r="AH34" s="11"/>
      <c r="AI34" s="11">
        <f>IF(TEXT(Data.[[#This Row],[Periodo]],"mmm-yy")="may-26",VLOOKUP(Data.[[#This Row],[Código]],Reportería!A:BV,57,0),0)</f>
        <v>16903.2</v>
      </c>
      <c r="AJ34" s="11"/>
      <c r="AK34" s="11"/>
      <c r="AL34" s="11">
        <f>IF(Data.[[#This Row],[Vol M0]]="",0,0)</f>
        <v>0</v>
      </c>
      <c r="AM34" s="11">
        <f>IF(Data.[[#This Row],[Vol M0]]="",0,0)</f>
        <v>0</v>
      </c>
      <c r="AN34" s="11">
        <f>IF(Data.[[#This Row],[Vol M0]]="",0,0)</f>
        <v>0</v>
      </c>
      <c r="AO34" s="11">
        <f>IF(Data.[[#This Row],[Vol M0]]="",0,0)</f>
        <v>0</v>
      </c>
      <c r="AP34" s="11">
        <f>IF(Data.[[#This Row],[Vol M0]]="",0,0)</f>
        <v>0</v>
      </c>
      <c r="AQ34" s="11">
        <f>IF(Data.[[#This Row],[Vol M0]]="",0,0)</f>
        <v>0</v>
      </c>
      <c r="AR34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1</v>
      </c>
    </row>
    <row r="35" spans="1:44" ht="14.25" customHeight="1">
      <c r="A35" s="53" t="str">
        <f>CONCATENATE(Data.[[#This Row],[Código]],Data.[[#This Row],[Ruc]])</f>
        <v>595169820613702629</v>
      </c>
      <c r="B35" s="9">
        <v>46143</v>
      </c>
      <c r="C35" s="53" t="str">
        <f>IFERROR(VLOOKUP(Data.[[#This Row],[Código LT]],Reportería.[],71,0),"")</f>
        <v/>
      </c>
      <c r="D35" s="10">
        <f>IFERROR(VLOOKUP(Data.[[#This Row],[Código]],BV!A:C,2,0),"")</f>
        <v>46168</v>
      </c>
      <c r="E35" s="10">
        <f>IFERROR(VLOOKUP(Data.[[#This Row],[Código]],BV!A:C,3,0),"")</f>
        <v>46169</v>
      </c>
      <c r="F35" s="53">
        <v>5951698</v>
      </c>
      <c r="G35" s="8" t="s">
        <v>615</v>
      </c>
      <c r="H35" s="8">
        <v>20613702629</v>
      </c>
      <c r="I35" s="8" t="s">
        <v>616</v>
      </c>
      <c r="J35" s="8" t="s">
        <v>617</v>
      </c>
      <c r="K35" s="53" t="str">
        <f>IF(Data.[[#This Row],[Tipo de Venta]]&lt;&gt;"POS","Atendido",IF(Data.[[#This Row],[Fecha de Instalación]]&lt;&gt;"","Atendido","Ingresado"))</f>
        <v>Atendido</v>
      </c>
      <c r="L35" s="53" t="str">
        <f>Data.[[#This Row],[Estado]]</f>
        <v>Atendido</v>
      </c>
      <c r="M35" s="8" t="s">
        <v>33</v>
      </c>
      <c r="N35" s="53" t="str">
        <f>IFERROR(VLOOKUP(Data.[[#This Row],[Código LT]],Reportería.[],20,0),"")</f>
        <v/>
      </c>
      <c r="O35" s="53" t="str">
        <f>IFERROR(VLOOKUP(Data.[[#This Row],[Código LT]],Reportería.[],5,0),"")</f>
        <v/>
      </c>
      <c r="P35" s="11">
        <f>Data.[[#This Row],[GPV Mensual LT]]/COUNTIFS(H:H,Data.[[#This Row],[Ruc]],B:B,Data.[[#This Row],[Periodo]])</f>
        <v>100000</v>
      </c>
      <c r="Q35" s="11">
        <v>200000</v>
      </c>
      <c r="R35" s="8" t="s">
        <v>86</v>
      </c>
      <c r="S35" s="53" t="str">
        <f>VLOOKUP(Data.[[#This Row],[Ejecutivo]],Productividad!D:N,11,0)</f>
        <v>77016095</v>
      </c>
      <c r="T35" s="54" t="str">
        <f>VLOOKUP(Data.[[#This Row],[DNI Ejecutivo]],Productividad!C:U,8,0)</f>
        <v>nelly.delpino@lozapay.com.pe</v>
      </c>
      <c r="U35" s="53" t="str">
        <f>VLOOKUP(Data.[[#This Row],[DNI Ejecutivo]],Productividad!C:U,4,0)</f>
        <v>Hunter</v>
      </c>
      <c r="V35" s="53" t="str">
        <f>IFERROR(VLOOKUP(Data.[[#This Row],[DNI Ejecutivo]],Ejecutivos.[],11,0),"")</f>
        <v>Lima Jean</v>
      </c>
      <c r="W35" s="8" t="s">
        <v>64</v>
      </c>
      <c r="X35" s="53" t="str" cm="1">
        <f t="array" ref="X35">IFERROR(_xlfn.IFS(Data.[[#This Row],[Supervisor]]="Jonathan Lapoint","Norte",Data.[[#This Row],[Supervisor]]="Jorge Fuentes","Norte"),"Lima")</f>
        <v>Lima</v>
      </c>
      <c r="Y35" s="53" t="str">
        <f>VLOOKUP(Data.[[#This Row],[Supervisor]],Ejecutivos!B:S,17,0)</f>
        <v>47688341</v>
      </c>
      <c r="Z35" s="54" t="str">
        <f>VLOOKUP(Data.[[#This Row],[DNI Supervisor]],Productividad!C:U,8,0)</f>
        <v>jaguilar@lozapay.com.pe</v>
      </c>
      <c r="AA35" s="8"/>
      <c r="AB35" s="8" t="s">
        <v>87</v>
      </c>
      <c r="AC35" s="53" t="str">
        <f>IFERROR(CONCATENATE(Data.[[#This Row],[DNI Ejecutivo]],Data.[[#This Row],[Periodo]]),"")</f>
        <v>7701609546143</v>
      </c>
      <c r="AD35" s="53" t="str">
        <f>IFERROR(VLOOKUP(Data.[[#This Row],[Código LT]],Reportería.[],10,0),"")</f>
        <v/>
      </c>
      <c r="AE35" s="53" t="str">
        <f>IFERROR(VLOOKUP(Data.[[#This Row],[Código LT]],Reportería.[],11,0),"")</f>
        <v/>
      </c>
      <c r="AF35" s="11">
        <v>3468.24</v>
      </c>
      <c r="AG35" s="11"/>
      <c r="AH35" s="11"/>
      <c r="AI35" s="11">
        <f>IF(TEXT(Data.[[#This Row],[Periodo]],"mmm-yy")="may-26",VLOOKUP(Data.[[#This Row],[Código]],Reportería!A:BV,57,0),0)</f>
        <v>51080.35</v>
      </c>
      <c r="AJ35" s="11"/>
      <c r="AK35" s="11"/>
      <c r="AL35" s="11">
        <f>IF(Data.[[#This Row],[Vol M0]]="",0,0)</f>
        <v>0</v>
      </c>
      <c r="AM35" s="11">
        <f>IF(Data.[[#This Row],[Vol M0]]="",0,0)</f>
        <v>0</v>
      </c>
      <c r="AN35" s="11">
        <f>IF(Data.[[#This Row],[Vol M0]]="",0,0)</f>
        <v>0</v>
      </c>
      <c r="AO35" s="11">
        <f>IF(Data.[[#This Row],[Vol M0]]="",0,0)</f>
        <v>0</v>
      </c>
      <c r="AP35" s="11">
        <f>IF(Data.[[#This Row],[Vol M0]]="",0,0)</f>
        <v>0</v>
      </c>
      <c r="AQ35" s="11">
        <f>IF(Data.[[#This Row],[Vol M0]]="",0,0)</f>
        <v>0</v>
      </c>
      <c r="AR35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0.5</v>
      </c>
    </row>
    <row r="36" spans="1:44" ht="14.25" customHeight="1">
      <c r="A36" s="55" t="str">
        <f>CONCATENATE(Data.[[#This Row],[Código]],Data.[[#This Row],[Ruc]])</f>
        <v>595172220613702629</v>
      </c>
      <c r="B36" s="9">
        <v>46143</v>
      </c>
      <c r="C36" s="55" t="str">
        <f>IFERROR(VLOOKUP(Data.[[#This Row],[Código LT]],Reportería.[],71,0),"")</f>
        <v/>
      </c>
      <c r="D36" s="52">
        <f>IFERROR(VLOOKUP(Data.[[#This Row],[Código]],BV!A:C,2,0),"")</f>
        <v>46168</v>
      </c>
      <c r="E36" s="10">
        <f>IFERROR(VLOOKUP(Data.[[#This Row],[Código]],BV!A:C,3,0),"")</f>
        <v>46169</v>
      </c>
      <c r="F36" s="55">
        <v>5951722</v>
      </c>
      <c r="G36" s="12" t="s">
        <v>618</v>
      </c>
      <c r="H36" s="12">
        <v>20613702629</v>
      </c>
      <c r="I36" s="12" t="s">
        <v>616</v>
      </c>
      <c r="J36" s="12" t="s">
        <v>617</v>
      </c>
      <c r="K36" s="55" t="str">
        <f>IF(Data.[[#This Row],[Tipo de Venta]]&lt;&gt;"POS","Atendido",IF(Data.[[#This Row],[Fecha de Instalación]]&lt;&gt;"","Atendido","Ingresado"))</f>
        <v>Atendido</v>
      </c>
      <c r="L36" s="55" t="str">
        <f>Data.[[#This Row],[Estado]]</f>
        <v>Atendido</v>
      </c>
      <c r="M36" s="8" t="s">
        <v>33</v>
      </c>
      <c r="N36" s="55" t="str">
        <f>IFERROR(VLOOKUP(Data.[[#This Row],[Código LT]],Reportería.[],20,0),"")</f>
        <v/>
      </c>
      <c r="O36" s="55" t="str">
        <f>IFERROR(VLOOKUP(Data.[[#This Row],[Código LT]],Reportería.[],5,0),"")</f>
        <v/>
      </c>
      <c r="P36" s="13">
        <f>Data.[[#This Row],[GPV Mensual LT]]/COUNTIFS(H:H,Data.[[#This Row],[Ruc]],B:B,Data.[[#This Row],[Periodo]])</f>
        <v>100000</v>
      </c>
      <c r="Q36" s="13">
        <v>200000</v>
      </c>
      <c r="R36" s="12" t="s">
        <v>86</v>
      </c>
      <c r="S36" s="55" t="str">
        <f>VLOOKUP(Data.[[#This Row],[Ejecutivo]],Productividad!D:N,11,0)</f>
        <v>77016095</v>
      </c>
      <c r="T36" s="56" t="str">
        <f>VLOOKUP(Data.[[#This Row],[DNI Ejecutivo]],Productividad!C:U,8,0)</f>
        <v>nelly.delpino@lozapay.com.pe</v>
      </c>
      <c r="U36" s="55" t="str">
        <f>VLOOKUP(Data.[[#This Row],[DNI Ejecutivo]],Productividad!C:U,4,0)</f>
        <v>Hunter</v>
      </c>
      <c r="V36" s="55" t="str">
        <f>IFERROR(VLOOKUP(Data.[[#This Row],[DNI Ejecutivo]],Ejecutivos.[],11,0),"")</f>
        <v>Lima Jean</v>
      </c>
      <c r="W36" s="12" t="s">
        <v>64</v>
      </c>
      <c r="X36" s="55" t="str" cm="1">
        <f t="array" ref="X36">IFERROR(_xlfn.IFS(Data.[[#This Row],[Supervisor]]="Jonathan Lapoint","Norte",Data.[[#This Row],[Supervisor]]="Jorge Fuentes","Norte"),"Lima")</f>
        <v>Lima</v>
      </c>
      <c r="Y36" s="55" t="str">
        <f>VLOOKUP(Data.[[#This Row],[Supervisor]],Ejecutivos!B:S,17,0)</f>
        <v>47688341</v>
      </c>
      <c r="Z36" s="56" t="str">
        <f>VLOOKUP(Data.[[#This Row],[DNI Supervisor]],Productividad!C:U,8,0)</f>
        <v>jaguilar@lozapay.com.pe</v>
      </c>
      <c r="AA36" s="12"/>
      <c r="AB36" s="12" t="s">
        <v>87</v>
      </c>
      <c r="AC36" s="55" t="str">
        <f>IFERROR(CONCATENATE(Data.[[#This Row],[DNI Ejecutivo]],Data.[[#This Row],[Periodo]]),"")</f>
        <v>7701609546143</v>
      </c>
      <c r="AD36" s="55" t="str">
        <f>IFERROR(VLOOKUP(Data.[[#This Row],[Código LT]],Reportería.[],10,0),"")</f>
        <v/>
      </c>
      <c r="AE36" s="55" t="str">
        <f>IFERROR(VLOOKUP(Data.[[#This Row],[Código LT]],Reportería.[],11,0),"")</f>
        <v/>
      </c>
      <c r="AF36" s="13">
        <v>8456.14</v>
      </c>
      <c r="AG36" s="13"/>
      <c r="AH36" s="13"/>
      <c r="AI36" s="11">
        <f>IF(TEXT(Data.[[#This Row],[Periodo]],"mmm-yy")="may-26",VLOOKUP(Data.[[#This Row],[Código]],Reportería!A:BV,57,0),0)</f>
        <v>33707.72</v>
      </c>
      <c r="AJ36" s="13"/>
      <c r="AK36" s="13"/>
      <c r="AL36" s="13">
        <f>IF(Data.[[#This Row],[Vol M0]]="",0,0)</f>
        <v>0</v>
      </c>
      <c r="AM36" s="13">
        <f>IF(Data.[[#This Row],[Vol M0]]="",0,0)</f>
        <v>0</v>
      </c>
      <c r="AN36" s="13">
        <f>IF(Data.[[#This Row],[Vol M0]]="",0,0)</f>
        <v>0</v>
      </c>
      <c r="AO36" s="13">
        <f>IF(Data.[[#This Row],[Vol M0]]="",0,0)</f>
        <v>0</v>
      </c>
      <c r="AP36" s="13">
        <f>IF(Data.[[#This Row],[Vol M0]]="",0,0)</f>
        <v>0</v>
      </c>
      <c r="AQ36" s="13">
        <f>IF(Data.[[#This Row],[Vol M0]]="",0,0)</f>
        <v>0</v>
      </c>
      <c r="AR36" s="13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0.5</v>
      </c>
    </row>
    <row r="37" spans="1:44" ht="14.25" customHeight="1">
      <c r="A37" s="53" t="str">
        <f>CONCATENATE(Data.[[#This Row],[Código]],Data.[[#This Row],[Ruc]])</f>
        <v>105871220607818526</v>
      </c>
      <c r="B37" s="9">
        <v>46143</v>
      </c>
      <c r="C37" s="53" t="str">
        <f>IFERROR(VLOOKUP(Data.[[#This Row],[Código LT]],Reportería.[],71,0),"")</f>
        <v/>
      </c>
      <c r="D37" s="10">
        <f>IFERROR(VLOOKUP(Data.[[#This Row],[Código]],BV!A:C,2,0),"")</f>
        <v>46168</v>
      </c>
      <c r="E37" s="10">
        <f>IFERROR(VLOOKUP(Data.[[#This Row],[Código]],BV!A:C,3,0),"")</f>
        <v>46170</v>
      </c>
      <c r="F37" s="53">
        <v>1058712</v>
      </c>
      <c r="G37" s="8"/>
      <c r="H37" s="8">
        <v>20607818526</v>
      </c>
      <c r="I37" s="8" t="s">
        <v>625</v>
      </c>
      <c r="J37" s="8" t="s">
        <v>626</v>
      </c>
      <c r="K37" s="53" t="str">
        <f>IF(Data.[[#This Row],[Tipo de Venta]]&lt;&gt;"POS","Atendido",IF(Data.[[#This Row],[Fecha de Instalación]]&lt;&gt;"","Atendido","Ingresado"))</f>
        <v>Atendido</v>
      </c>
      <c r="L37" s="53" t="str">
        <f>Data.[[#This Row],[Estado]]</f>
        <v>Atendido</v>
      </c>
      <c r="M37" s="8" t="s">
        <v>33</v>
      </c>
      <c r="N37" s="53" t="str">
        <f>IFERROR(VLOOKUP(Data.[[#This Row],[Código LT]],Reportería.[],20,0),"")</f>
        <v/>
      </c>
      <c r="O37" s="53" t="str">
        <f>IFERROR(VLOOKUP(Data.[[#This Row],[Código LT]],Reportería.[],5,0),"")</f>
        <v/>
      </c>
      <c r="P37" s="11">
        <f>Data.[[#This Row],[GPV Mensual LT]]/COUNTIFS(H:H,Data.[[#This Row],[Ruc]],B:B,Data.[[#This Row],[Periodo]])</f>
        <v>40000</v>
      </c>
      <c r="Q37" s="11">
        <v>40000</v>
      </c>
      <c r="R37" s="8" t="s">
        <v>189</v>
      </c>
      <c r="S37" s="53" t="str">
        <f>VLOOKUP(Data.[[#This Row],[Ejecutivo]],Productividad!D:N,11,0)</f>
        <v>40463169</v>
      </c>
      <c r="T37" s="54" t="str">
        <f>VLOOKUP(Data.[[#This Row],[DNI Ejecutivo]],Productividad!C:U,8,0)</f>
        <v>yessica.ruiz@lozapay.com.pe</v>
      </c>
      <c r="U37" s="53" t="str">
        <f>VLOOKUP(Data.[[#This Row],[DNI Ejecutivo]],Productividad!C:U,4,0)</f>
        <v>Senior</v>
      </c>
      <c r="V37" s="53" t="str">
        <f>IFERROR(VLOOKUP(Data.[[#This Row],[DNI Ejecutivo]],Ejecutivos.[],11,0),"")</f>
        <v>Lima Palomino</v>
      </c>
      <c r="W37" s="8" t="s">
        <v>35</v>
      </c>
      <c r="X37" s="53" t="str" cm="1">
        <f t="array" ref="X37">IFERROR(_xlfn.IFS(Data.[[#This Row],[Supervisor]]="Jonathan Lapoint","Norte",Data.[[#This Row],[Supervisor]]="Jorge Fuentes","Norte"),"Lima")</f>
        <v>Lima</v>
      </c>
      <c r="Y37" s="53" t="str">
        <f>VLOOKUP(Data.[[#This Row],[Supervisor]],Ejecutivos!B:S,17,0)</f>
        <v>41718975</v>
      </c>
      <c r="Z37" s="54" t="str">
        <f>VLOOKUP(Data.[[#This Row],[DNI Supervisor]],Productividad!C:U,8,0)</f>
        <v>carlos.palomino@lozapay.com.pe</v>
      </c>
      <c r="AA37" s="8"/>
      <c r="AB37" s="8" t="s">
        <v>190</v>
      </c>
      <c r="AC37" s="53" t="str">
        <f>IFERROR(CONCATENATE(Data.[[#This Row],[DNI Ejecutivo]],Data.[[#This Row],[Periodo]]),"")</f>
        <v>4046316946143</v>
      </c>
      <c r="AD37" s="53" t="str">
        <f>IFERROR(VLOOKUP(Data.[[#This Row],[Código LT]],Reportería.[],10,0),"")</f>
        <v/>
      </c>
      <c r="AE37" s="53" t="str">
        <f>IFERROR(VLOOKUP(Data.[[#This Row],[Código LT]],Reportería.[],11,0),"")</f>
        <v/>
      </c>
      <c r="AF37" s="11">
        <v>0</v>
      </c>
      <c r="AG37" s="11"/>
      <c r="AH37" s="11"/>
      <c r="AI37" s="11">
        <f>IF(TEXT(Data.[[#This Row],[Periodo]],"mmm-yy")="may-26",VLOOKUP(Data.[[#This Row],[Código]],Reportería!A:BV,57,0),0)</f>
        <v>8015</v>
      </c>
      <c r="AJ37" s="11"/>
      <c r="AK37" s="11"/>
      <c r="AL37" s="11">
        <f>IF(Data.[[#This Row],[Vol M0]]="",0,0)</f>
        <v>0</v>
      </c>
      <c r="AM37" s="11">
        <f>IF(Data.[[#This Row],[Vol M0]]="",0,0)</f>
        <v>0</v>
      </c>
      <c r="AN37" s="11">
        <f>IF(Data.[[#This Row],[Vol M0]]="",0,0)</f>
        <v>0</v>
      </c>
      <c r="AO37" s="11">
        <f>IF(Data.[[#This Row],[Vol M0]]="",0,0)</f>
        <v>0</v>
      </c>
      <c r="AP37" s="11">
        <f>IF(Data.[[#This Row],[Vol M0]]="",0,0)</f>
        <v>0</v>
      </c>
      <c r="AQ37" s="11">
        <f>IF(Data.[[#This Row],[Vol M0]]="",0,0)</f>
        <v>0</v>
      </c>
      <c r="AR37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38" spans="1:44" ht="14.25" customHeight="1">
      <c r="A38" s="53" t="str">
        <f>CONCATENATE(Data.[[#This Row],[Código]],Data.[[#This Row],[Ruc]])</f>
        <v>595260720611374420</v>
      </c>
      <c r="B38" s="9">
        <v>46143</v>
      </c>
      <c r="C38" s="53" t="str">
        <f>IFERROR(VLOOKUP(Data.[[#This Row],[Código LT]],Reportería.[],71,0),"")</f>
        <v/>
      </c>
      <c r="D38" s="10">
        <f>IFERROR(VLOOKUP(Data.[[#This Row],[Código]],BV!A:C,2,0),"")</f>
        <v>46170</v>
      </c>
      <c r="E38" s="10">
        <f>IFERROR(VLOOKUP(Data.[[#This Row],[Código]],BV!A:C,3,0),"")</f>
        <v>46170</v>
      </c>
      <c r="F38" s="53">
        <v>5952607</v>
      </c>
      <c r="G38" s="8" t="s">
        <v>627</v>
      </c>
      <c r="H38" s="8">
        <v>20611374420</v>
      </c>
      <c r="I38" s="8" t="s">
        <v>628</v>
      </c>
      <c r="J38" s="8" t="s">
        <v>629</v>
      </c>
      <c r="K38" s="53" t="str">
        <f>IF(Data.[[#This Row],[Tipo de Venta]]&lt;&gt;"POS","Atendido",IF(Data.[[#This Row],[Fecha de Instalación]]&lt;&gt;"","Atendido","Ingresado"))</f>
        <v>Atendido</v>
      </c>
      <c r="L38" s="53" t="str">
        <f>Data.[[#This Row],[Estado]]</f>
        <v>Atendido</v>
      </c>
      <c r="M38" s="8" t="s">
        <v>33</v>
      </c>
      <c r="N38" s="53" t="str">
        <f>IFERROR(VLOOKUP(Data.[[#This Row],[Código LT]],Reportería.[],20,0),"")</f>
        <v/>
      </c>
      <c r="O38" s="53" t="str">
        <f>IFERROR(VLOOKUP(Data.[[#This Row],[Código LT]],Reportería.[],5,0),"")</f>
        <v/>
      </c>
      <c r="P38" s="11">
        <f>Data.[[#This Row],[GPV Mensual LT]]/COUNTIFS(H:H,Data.[[#This Row],[Ruc]],B:B,Data.[[#This Row],[Periodo]])</f>
        <v>40000</v>
      </c>
      <c r="Q38" s="11">
        <v>40000</v>
      </c>
      <c r="R38" s="8" t="s">
        <v>278</v>
      </c>
      <c r="S38" s="53" t="str">
        <f>VLOOKUP(Data.[[#This Row],[Ejecutivo]],Productividad!D:N,11,0)</f>
        <v>42858532</v>
      </c>
      <c r="T38" s="54" t="str">
        <f>VLOOKUP(Data.[[#This Row],[DNI Ejecutivo]],Productividad!C:U,8,0)</f>
        <v>marlon.martinez@lozapay.com.pe</v>
      </c>
      <c r="U38" s="53" t="str">
        <f>VLOOKUP(Data.[[#This Row],[DNI Ejecutivo]],Productividad!C:U,4,0)</f>
        <v>Hunter</v>
      </c>
      <c r="V38" s="53" t="str">
        <f>IFERROR(VLOOKUP(Data.[[#This Row],[DNI Ejecutivo]],Ejecutivos.[],11,0),"")</f>
        <v>Norte Lapoint</v>
      </c>
      <c r="W38" s="8" t="s">
        <v>98</v>
      </c>
      <c r="X38" s="53" t="str" cm="1">
        <f t="array" ref="X38">IFERROR(_xlfn.IFS(Data.[[#This Row],[Supervisor]]="Jonathan Lapoint","Norte",Data.[[#This Row],[Supervisor]]="Jorge Fuentes","Norte"),"Lima")</f>
        <v>Norte</v>
      </c>
      <c r="Y38" s="53" t="str">
        <f>VLOOKUP(Data.[[#This Row],[Supervisor]],Ejecutivos!B:S,17,0)</f>
        <v>70430554</v>
      </c>
      <c r="Z38" s="54" t="str">
        <f>VLOOKUP(Data.[[#This Row],[DNI Supervisor]],Productividad!C:U,8,0)</f>
        <v>jlapointp@lozapay.com.pe</v>
      </c>
      <c r="AA38" s="8"/>
      <c r="AB38" s="8" t="s">
        <v>279</v>
      </c>
      <c r="AC38" s="53" t="str">
        <f>IFERROR(CONCATENATE(Data.[[#This Row],[DNI Ejecutivo]],Data.[[#This Row],[Periodo]]),"")</f>
        <v>4285853246143</v>
      </c>
      <c r="AD38" s="53" t="str">
        <f>IFERROR(VLOOKUP(Data.[[#This Row],[Código LT]],Reportería.[],10,0),"")</f>
        <v/>
      </c>
      <c r="AE38" s="53" t="str">
        <f>IFERROR(VLOOKUP(Data.[[#This Row],[Código LT]],Reportería.[],11,0),"")</f>
        <v/>
      </c>
      <c r="AF38" s="11">
        <v>1</v>
      </c>
      <c r="AG38" s="11"/>
      <c r="AH38" s="11"/>
      <c r="AI38" s="11">
        <f>IF(TEXT(Data.[[#This Row],[Periodo]],"mmm-yy")="may-26",VLOOKUP(Data.[[#This Row],[Código]],Reportería!A:BV,57,0),0)</f>
        <v>1721.5</v>
      </c>
      <c r="AJ38" s="11"/>
      <c r="AK38" s="11"/>
      <c r="AL38" s="11">
        <f>IF(Data.[[#This Row],[Vol M0]]="",0,0)</f>
        <v>0</v>
      </c>
      <c r="AM38" s="11">
        <f>IF(Data.[[#This Row],[Vol M0]]="",0,0)</f>
        <v>0</v>
      </c>
      <c r="AN38" s="11">
        <f>IF(Data.[[#This Row],[Vol M0]]="",0,0)</f>
        <v>0</v>
      </c>
      <c r="AO38" s="11">
        <f>IF(Data.[[#This Row],[Vol M0]]="",0,0)</f>
        <v>0</v>
      </c>
      <c r="AP38" s="11">
        <f>IF(Data.[[#This Row],[Vol M0]]="",0,0)</f>
        <v>0</v>
      </c>
      <c r="AQ38" s="11">
        <f>IF(Data.[[#This Row],[Vol M0]]="",0,0)</f>
        <v>0</v>
      </c>
      <c r="AR38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39" spans="1:44" ht="14.25" customHeight="1">
      <c r="A39" s="53" t="str">
        <f>CONCATENATE(Data.[[#This Row],[Código]],Data.[[#This Row],[Ruc]])</f>
        <v>595285310477313928</v>
      </c>
      <c r="B39" s="9">
        <v>46143</v>
      </c>
      <c r="C39" s="53" t="str">
        <f>IFERROR(VLOOKUP(Data.[[#This Row],[Código LT]],Reportería.[],71,0),"")</f>
        <v/>
      </c>
      <c r="D39" s="10">
        <f>IFERROR(VLOOKUP(Data.[[#This Row],[Código]],BV!A:C,2,0),"")</f>
        <v>46170</v>
      </c>
      <c r="E39" s="10">
        <f>IFERROR(VLOOKUP(Data.[[#This Row],[Código]],BV!A:C,3,0),"")</f>
        <v>46170</v>
      </c>
      <c r="F39" s="53">
        <v>5952853</v>
      </c>
      <c r="G39" s="8" t="s">
        <v>630</v>
      </c>
      <c r="H39" s="8">
        <v>10477313928</v>
      </c>
      <c r="I39" s="8" t="s">
        <v>631</v>
      </c>
      <c r="J39" s="8" t="s">
        <v>632</v>
      </c>
      <c r="K39" s="53" t="str">
        <f>IF(Data.[[#This Row],[Tipo de Venta]]&lt;&gt;"POS","Atendido",IF(Data.[[#This Row],[Fecha de Instalación]]&lt;&gt;"","Atendido","Ingresado"))</f>
        <v>Atendido</v>
      </c>
      <c r="L39" s="53" t="str">
        <f>Data.[[#This Row],[Estado]]</f>
        <v>Atendido</v>
      </c>
      <c r="M39" s="8" t="s">
        <v>33</v>
      </c>
      <c r="N39" s="53" t="str">
        <f>IFERROR(VLOOKUP(Data.[[#This Row],[Código LT]],Reportería.[],20,0),"")</f>
        <v/>
      </c>
      <c r="O39" s="53" t="str">
        <f>IFERROR(VLOOKUP(Data.[[#This Row],[Código LT]],Reportería.[],5,0),"")</f>
        <v/>
      </c>
      <c r="P39" s="11">
        <f>Data.[[#This Row],[GPV Mensual LT]]/COUNTIFS(H:H,Data.[[#This Row],[Ruc]],B:B,Data.[[#This Row],[Periodo]])</f>
        <v>50000</v>
      </c>
      <c r="Q39" s="11">
        <v>100000</v>
      </c>
      <c r="R39" s="8" t="s">
        <v>159</v>
      </c>
      <c r="S39" s="53" t="str">
        <f>VLOOKUP(Data.[[#This Row],[Ejecutivo]],Productividad!D:N,11,0)</f>
        <v>76524006</v>
      </c>
      <c r="T39" s="54" t="str">
        <f>VLOOKUP(Data.[[#This Row],[DNI Ejecutivo]],Productividad!C:U,8,0)</f>
        <v>jjaimesb@lozapay.com.pe</v>
      </c>
      <c r="U39" s="53" t="str">
        <f>VLOOKUP(Data.[[#This Row],[DNI Ejecutivo]],Productividad!C:U,4,0)</f>
        <v>Senior</v>
      </c>
      <c r="V39" s="53" t="str">
        <f>IFERROR(VLOOKUP(Data.[[#This Row],[DNI Ejecutivo]],Ejecutivos.[],11,0),"")</f>
        <v>Lima Palomino</v>
      </c>
      <c r="W39" s="8" t="s">
        <v>35</v>
      </c>
      <c r="X39" s="53" t="str" cm="1">
        <f t="array" ref="X39">IFERROR(_xlfn.IFS(Data.[[#This Row],[Supervisor]]="Jonathan Lapoint","Norte",Data.[[#This Row],[Supervisor]]="Jorge Fuentes","Norte"),"Lima")</f>
        <v>Lima</v>
      </c>
      <c r="Y39" s="53" t="str">
        <f>VLOOKUP(Data.[[#This Row],[Supervisor]],Ejecutivos!B:S,17,0)</f>
        <v>41718975</v>
      </c>
      <c r="Z39" s="54" t="str">
        <f>VLOOKUP(Data.[[#This Row],[DNI Supervisor]],Productividad!C:U,8,0)</f>
        <v>carlos.palomino@lozapay.com.pe</v>
      </c>
      <c r="AA39" s="8"/>
      <c r="AB39" s="8" t="s">
        <v>160</v>
      </c>
      <c r="AC39" s="53" t="str">
        <f>IFERROR(CONCATENATE(Data.[[#This Row],[DNI Ejecutivo]],Data.[[#This Row],[Periodo]]),"")</f>
        <v>7652400646143</v>
      </c>
      <c r="AD39" s="53" t="str">
        <f>IFERROR(VLOOKUP(Data.[[#This Row],[Código LT]],Reportería.[],10,0),"")</f>
        <v/>
      </c>
      <c r="AE39" s="53" t="str">
        <f>IFERROR(VLOOKUP(Data.[[#This Row],[Código LT]],Reportería.[],11,0),"")</f>
        <v/>
      </c>
      <c r="AF39" s="11">
        <v>7</v>
      </c>
      <c r="AG39" s="11"/>
      <c r="AH39" s="11"/>
      <c r="AI39" s="11">
        <f>IF(TEXT(Data.[[#This Row],[Periodo]],"mmm-yy")="may-26",VLOOKUP(Data.[[#This Row],[Código]],Reportería!A:BV,57,0),0)</f>
        <v>5667.2</v>
      </c>
      <c r="AJ39" s="11"/>
      <c r="AK39" s="11"/>
      <c r="AL39" s="11">
        <f>IF(Data.[[#This Row],[Vol M0]]="",0,0)</f>
        <v>0</v>
      </c>
      <c r="AM39" s="11">
        <f>IF(Data.[[#This Row],[Vol M0]]="",0,0)</f>
        <v>0</v>
      </c>
      <c r="AN39" s="11">
        <f>IF(Data.[[#This Row],[Vol M0]]="",0,0)</f>
        <v>0</v>
      </c>
      <c r="AO39" s="11">
        <f>IF(Data.[[#This Row],[Vol M0]]="",0,0)</f>
        <v>0</v>
      </c>
      <c r="AP39" s="11">
        <f>IF(Data.[[#This Row],[Vol M0]]="",0,0)</f>
        <v>0</v>
      </c>
      <c r="AQ39" s="11">
        <f>IF(Data.[[#This Row],[Vol M0]]="",0,0)</f>
        <v>0</v>
      </c>
      <c r="AR39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0.5</v>
      </c>
    </row>
    <row r="40" spans="1:44" ht="14.25" customHeight="1">
      <c r="A40" s="55" t="str">
        <f>CONCATENATE(Data.[[#This Row],[Código]],Data.[[#This Row],[Ruc]])</f>
        <v>595286610477313928</v>
      </c>
      <c r="B40" s="9">
        <v>46143</v>
      </c>
      <c r="C40" s="55" t="str">
        <f>IFERROR(VLOOKUP(Data.[[#This Row],[Código LT]],Reportería.[],71,0),"")</f>
        <v/>
      </c>
      <c r="D40" s="52" t="str">
        <f>IFERROR(VLOOKUP(Data.[[#This Row],[Código]],BV!A:C,2,0),"")</f>
        <v/>
      </c>
      <c r="E40" s="10" t="str">
        <f>IFERROR(VLOOKUP(Data.[[#This Row],[Código]],BV!A:C,3,0),"")</f>
        <v/>
      </c>
      <c r="F40" s="55">
        <v>5952866</v>
      </c>
      <c r="G40" s="12">
        <v>80290935</v>
      </c>
      <c r="H40" s="12">
        <v>10477313928</v>
      </c>
      <c r="I40" s="12" t="s">
        <v>631</v>
      </c>
      <c r="J40" s="12" t="s">
        <v>632</v>
      </c>
      <c r="K40" s="55" t="str">
        <f>IF(Data.[[#This Row],[Tipo de Venta]]&lt;&gt;"POS","Atendido",IF(Data.[[#This Row],[Fecha de Instalación]]&lt;&gt;"","Atendido","Ingresado"))</f>
        <v>Atendido</v>
      </c>
      <c r="L40" s="55" t="str">
        <f>Data.[[#This Row],[Estado]]</f>
        <v>Atendido</v>
      </c>
      <c r="M40" s="53" t="s">
        <v>619</v>
      </c>
      <c r="N40" s="55" t="str">
        <f>IFERROR(VLOOKUP(Data.[[#This Row],[Código LT]],Reportería.[],20,0),"")</f>
        <v/>
      </c>
      <c r="O40" s="55" t="str">
        <f>IFERROR(VLOOKUP(Data.[[#This Row],[Código LT]],Reportería.[],5,0),"")</f>
        <v/>
      </c>
      <c r="P40" s="13">
        <f>Data.[[#This Row],[GPV Mensual LT]]/COUNTIFS(H:H,Data.[[#This Row],[Ruc]],B:B,Data.[[#This Row],[Periodo]])</f>
        <v>50000</v>
      </c>
      <c r="Q40" s="13">
        <v>100000</v>
      </c>
      <c r="R40" s="12" t="s">
        <v>159</v>
      </c>
      <c r="S40" s="55" t="str">
        <f>VLOOKUP(Data.[[#This Row],[Ejecutivo]],Productividad!D:N,11,0)</f>
        <v>76524006</v>
      </c>
      <c r="T40" s="56" t="str">
        <f>VLOOKUP(Data.[[#This Row],[DNI Ejecutivo]],Productividad!C:U,8,0)</f>
        <v>jjaimesb@lozapay.com.pe</v>
      </c>
      <c r="U40" s="55" t="str">
        <f>VLOOKUP(Data.[[#This Row],[DNI Ejecutivo]],Productividad!C:U,4,0)</f>
        <v>Senior</v>
      </c>
      <c r="V40" s="55" t="str">
        <f>IFERROR(VLOOKUP(Data.[[#This Row],[DNI Ejecutivo]],Ejecutivos.[],11,0),"")</f>
        <v>Lima Palomino</v>
      </c>
      <c r="W40" s="8" t="s">
        <v>35</v>
      </c>
      <c r="X40" s="55" t="str" cm="1">
        <f t="array" ref="X40">IFERROR(_xlfn.IFS(Data.[[#This Row],[Supervisor]]="Jonathan Lapoint","Norte",Data.[[#This Row],[Supervisor]]="Jorge Fuentes","Norte"),"Lima")</f>
        <v>Lima</v>
      </c>
      <c r="Y40" s="55" t="str">
        <f>VLOOKUP(Data.[[#This Row],[Supervisor]],Ejecutivos!B:S,17,0)</f>
        <v>41718975</v>
      </c>
      <c r="Z40" s="56" t="str">
        <f>VLOOKUP(Data.[[#This Row],[DNI Supervisor]],Productividad!C:U,8,0)</f>
        <v>carlos.palomino@lozapay.com.pe</v>
      </c>
      <c r="AA40" s="12"/>
      <c r="AB40" s="12" t="s">
        <v>160</v>
      </c>
      <c r="AC40" s="55" t="str">
        <f>IFERROR(CONCATENATE(Data.[[#This Row],[DNI Ejecutivo]],Data.[[#This Row],[Periodo]]),"")</f>
        <v>7652400646143</v>
      </c>
      <c r="AD40" s="55" t="str">
        <f>IFERROR(VLOOKUP(Data.[[#This Row],[Código LT]],Reportería.[],10,0),"")</f>
        <v/>
      </c>
      <c r="AE40" s="55" t="str">
        <f>IFERROR(VLOOKUP(Data.[[#This Row],[Código LT]],Reportería.[],11,0),"")</f>
        <v/>
      </c>
      <c r="AF40" s="13">
        <v>9</v>
      </c>
      <c r="AG40" s="13"/>
      <c r="AH40" s="13"/>
      <c r="AI40" s="11">
        <f>IF(TEXT(Data.[[#This Row],[Periodo]],"mmm-yy")="may-26",VLOOKUP(Data.[[#This Row],[Código]],Reportería!A:BV,57,0),0)</f>
        <v>10766.67</v>
      </c>
      <c r="AJ40" s="13"/>
      <c r="AK40" s="13"/>
      <c r="AL40" s="13">
        <f>IF(Data.[[#This Row],[Vol M0]]="",0,0)</f>
        <v>0</v>
      </c>
      <c r="AM40" s="13">
        <f>IF(Data.[[#This Row],[Vol M0]]="",0,0)</f>
        <v>0</v>
      </c>
      <c r="AN40" s="13">
        <f>IF(Data.[[#This Row],[Vol M0]]="",0,0)</f>
        <v>0</v>
      </c>
      <c r="AO40" s="13">
        <f>IF(Data.[[#This Row],[Vol M0]]="",0,0)</f>
        <v>0</v>
      </c>
      <c r="AP40" s="13">
        <f>IF(Data.[[#This Row],[Vol M0]]="",0,0)</f>
        <v>0</v>
      </c>
      <c r="AQ40" s="13">
        <f>IF(Data.[[#This Row],[Vol M0]]="",0,0)</f>
        <v>0</v>
      </c>
      <c r="AR40" s="13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0.5</v>
      </c>
    </row>
    <row r="41" spans="1:44" ht="14.25" customHeight="1">
      <c r="A41" s="53" t="str">
        <f>CONCATENATE(Data.[[#This Row],[Código]],Data.[[#This Row],[Ruc]])</f>
        <v>595311120614355221</v>
      </c>
      <c r="B41" s="9">
        <v>46143</v>
      </c>
      <c r="C41" s="53" t="str">
        <f>IFERROR(VLOOKUP(Data.[[#This Row],[Código LT]],Reportería.[],71,0),"")</f>
        <v/>
      </c>
      <c r="D41" s="10">
        <f>IFERROR(VLOOKUP(Data.[[#This Row],[Código]],BV!A:C,2,0),"")</f>
        <v>46171</v>
      </c>
      <c r="E41" s="10">
        <f>IFERROR(VLOOKUP(Data.[[#This Row],[Código]],BV!A:C,3,0),"")</f>
        <v>46171</v>
      </c>
      <c r="F41" s="53">
        <v>5953111</v>
      </c>
      <c r="G41" s="8" t="s">
        <v>672</v>
      </c>
      <c r="H41" s="8">
        <v>20614355221</v>
      </c>
      <c r="I41" s="8" t="s">
        <v>673</v>
      </c>
      <c r="J41" s="8" t="s">
        <v>674</v>
      </c>
      <c r="K41" s="53" t="str">
        <f>IF(Data.[[#This Row],[Tipo de Venta]]&lt;&gt;"POS","Atendido",IF(Data.[[#This Row],[Fecha de Instalación]]&lt;&gt;"","Atendido","Ingresado"))</f>
        <v>Atendido</v>
      </c>
      <c r="L41" s="53" t="str">
        <f>Data.[[#This Row],[Estado]]</f>
        <v>Atendido</v>
      </c>
      <c r="M41" s="8" t="s">
        <v>33</v>
      </c>
      <c r="N41" s="53" t="str">
        <f>IFERROR(VLOOKUP(Data.[[#This Row],[Código LT]],Reportería.[],20,0),"")</f>
        <v/>
      </c>
      <c r="O41" s="53" t="str">
        <f>IFERROR(VLOOKUP(Data.[[#This Row],[Código LT]],Reportería.[],5,0),"")</f>
        <v/>
      </c>
      <c r="P41" s="11">
        <f>Data.[[#This Row],[GPV Mensual LT]]/COUNTIFS(H:H,Data.[[#This Row],[Ruc]],B:B,Data.[[#This Row],[Periodo]])</f>
        <v>36000</v>
      </c>
      <c r="Q41" s="11">
        <v>180000</v>
      </c>
      <c r="R41" s="8" t="s">
        <v>218</v>
      </c>
      <c r="S41" s="53" t="str">
        <f>VLOOKUP(Data.[[#This Row],[Ejecutivo]],Productividad!D:N,11,0)</f>
        <v>46741483</v>
      </c>
      <c r="T41" s="54" t="str">
        <f>VLOOKUP(Data.[[#This Row],[DNI Ejecutivo]],Productividad!C:U,8,0)</f>
        <v>azavalaa@lozapay.com.pe</v>
      </c>
      <c r="U41" s="53" t="str">
        <f>VLOOKUP(Data.[[#This Row],[DNI Ejecutivo]],Productividad!C:U,4,0)</f>
        <v>Hunter</v>
      </c>
      <c r="V41" s="53" t="str">
        <f>IFERROR(VLOOKUP(Data.[[#This Row],[DNI Ejecutivo]],Ejecutivos.[],11,0),"")</f>
        <v>Lima Jean</v>
      </c>
      <c r="W41" s="8" t="s">
        <v>64</v>
      </c>
      <c r="X41" s="53" t="str" cm="1">
        <f t="array" ref="X41">IFERROR(_xlfn.IFS(Data.[[#This Row],[Supervisor]]="Jonathan Lapoint","Norte",Data.[[#This Row],[Supervisor]]="Jorge Fuentes","Norte"),"Lima")</f>
        <v>Lima</v>
      </c>
      <c r="Y41" s="53" t="str">
        <f>VLOOKUP(Data.[[#This Row],[Supervisor]],Ejecutivos!B:S,17,0)</f>
        <v>47688341</v>
      </c>
      <c r="Z41" s="54" t="str">
        <f>VLOOKUP(Data.[[#This Row],[DNI Supervisor]],Productividad!C:U,8,0)</f>
        <v>jaguilar@lozapay.com.pe</v>
      </c>
      <c r="AA41" s="8"/>
      <c r="AB41" s="8" t="s">
        <v>219</v>
      </c>
      <c r="AC41" s="53" t="str">
        <f>IFERROR(CONCATENATE(Data.[[#This Row],[DNI Ejecutivo]],Data.[[#This Row],[Periodo]]),"")</f>
        <v>4674148346143</v>
      </c>
      <c r="AD41" s="53" t="str">
        <f>IFERROR(VLOOKUP(Data.[[#This Row],[Código LT]],Reportería.[],10,0),"")</f>
        <v/>
      </c>
      <c r="AE41" s="53" t="str">
        <f>IFERROR(VLOOKUP(Data.[[#This Row],[Código LT]],Reportería.[],11,0),"")</f>
        <v/>
      </c>
      <c r="AF41" s="11">
        <v>3719</v>
      </c>
      <c r="AG41" s="11"/>
      <c r="AH41" s="11"/>
      <c r="AI41" s="11">
        <f>IF(TEXT(Data.[[#This Row],[Periodo]],"mmm-yy")="may-26",VLOOKUP(Data.[[#This Row],[Código]],Reportería!A:BV,57,0),0)</f>
        <v>7008.3</v>
      </c>
      <c r="AJ41" s="11"/>
      <c r="AK41" s="11"/>
      <c r="AL41" s="11">
        <f>IF(Data.[[#This Row],[Vol M0]]="",0,0)</f>
        <v>0</v>
      </c>
      <c r="AM41" s="11">
        <f>IF(Data.[[#This Row],[Vol M0]]="",0,0)</f>
        <v>0</v>
      </c>
      <c r="AN41" s="11">
        <f>IF(Data.[[#This Row],[Vol M0]]="",0,0)</f>
        <v>0</v>
      </c>
      <c r="AO41" s="11">
        <f>IF(Data.[[#This Row],[Vol M0]]="",0,0)</f>
        <v>0</v>
      </c>
      <c r="AP41" s="11">
        <f>IF(Data.[[#This Row],[Vol M0]]="",0,0)</f>
        <v>0</v>
      </c>
      <c r="AQ41" s="11">
        <f>IF(Data.[[#This Row],[Vol M0]]="",0,0)</f>
        <v>0</v>
      </c>
      <c r="AR41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0.2</v>
      </c>
    </row>
    <row r="42" spans="1:44" ht="14.25" customHeight="1">
      <c r="A42" s="53" t="str">
        <f>CONCATENATE(Data.[[#This Row],[Código]],Data.[[#This Row],[Ruc]])</f>
        <v>595311420614355221</v>
      </c>
      <c r="B42" s="9">
        <v>46143</v>
      </c>
      <c r="C42" s="53" t="str">
        <f>IFERROR(VLOOKUP(Data.[[#This Row],[Código LT]],Reportería.[],71,0),"")</f>
        <v/>
      </c>
      <c r="D42" s="10">
        <f>IFERROR(VLOOKUP(Data.[[#This Row],[Código]],BV!A:C,2,0),"")</f>
        <v>46171</v>
      </c>
      <c r="E42" s="10">
        <f>IFERROR(VLOOKUP(Data.[[#This Row],[Código]],BV!A:C,3,0),"")</f>
        <v>46171</v>
      </c>
      <c r="F42" s="53">
        <v>5953114</v>
      </c>
      <c r="G42" s="8" t="s">
        <v>675</v>
      </c>
      <c r="H42" s="8">
        <v>20614355221</v>
      </c>
      <c r="I42" s="8" t="s">
        <v>673</v>
      </c>
      <c r="J42" s="8" t="s">
        <v>674</v>
      </c>
      <c r="K42" s="53" t="str">
        <f>IF(Data.[[#This Row],[Tipo de Venta]]&lt;&gt;"POS","Atendido",IF(Data.[[#This Row],[Fecha de Instalación]]&lt;&gt;"","Atendido","Ingresado"))</f>
        <v>Atendido</v>
      </c>
      <c r="L42" s="53" t="str">
        <f>Data.[[#This Row],[Estado]]</f>
        <v>Atendido</v>
      </c>
      <c r="M42" s="8" t="s">
        <v>33</v>
      </c>
      <c r="N42" s="53" t="str">
        <f>IFERROR(VLOOKUP(Data.[[#This Row],[Código LT]],Reportería.[],20,0),"")</f>
        <v/>
      </c>
      <c r="O42" s="53" t="str">
        <f>IFERROR(VLOOKUP(Data.[[#This Row],[Código LT]],Reportería.[],5,0),"")</f>
        <v/>
      </c>
      <c r="P42" s="11">
        <f>Data.[[#This Row],[GPV Mensual LT]]/COUNTIFS(H:H,Data.[[#This Row],[Ruc]],B:B,Data.[[#This Row],[Periodo]])</f>
        <v>36000</v>
      </c>
      <c r="Q42" s="11">
        <v>180000</v>
      </c>
      <c r="R42" s="8" t="s">
        <v>218</v>
      </c>
      <c r="S42" s="53" t="str">
        <f>VLOOKUP(Data.[[#This Row],[Ejecutivo]],Productividad!D:N,11,0)</f>
        <v>46741483</v>
      </c>
      <c r="T42" s="54" t="str">
        <f>VLOOKUP(Data.[[#This Row],[DNI Ejecutivo]],Productividad!C:U,8,0)</f>
        <v>azavalaa@lozapay.com.pe</v>
      </c>
      <c r="U42" s="53" t="str">
        <f>VLOOKUP(Data.[[#This Row],[DNI Ejecutivo]],Productividad!C:U,4,0)</f>
        <v>Hunter</v>
      </c>
      <c r="V42" s="53" t="str">
        <f>IFERROR(VLOOKUP(Data.[[#This Row],[DNI Ejecutivo]],Ejecutivos.[],11,0),"")</f>
        <v>Lima Jean</v>
      </c>
      <c r="W42" s="8" t="s">
        <v>64</v>
      </c>
      <c r="X42" s="53" t="str" cm="1">
        <f t="array" ref="X42">IFERROR(_xlfn.IFS(Data.[[#This Row],[Supervisor]]="Jonathan Lapoint","Norte",Data.[[#This Row],[Supervisor]]="Jorge Fuentes","Norte"),"Lima")</f>
        <v>Lima</v>
      </c>
      <c r="Y42" s="53" t="str">
        <f>VLOOKUP(Data.[[#This Row],[Supervisor]],Ejecutivos!B:S,17,0)</f>
        <v>47688341</v>
      </c>
      <c r="Z42" s="54" t="str">
        <f>VLOOKUP(Data.[[#This Row],[DNI Supervisor]],Productividad!C:U,8,0)</f>
        <v>jaguilar@lozapay.com.pe</v>
      </c>
      <c r="AA42" s="8"/>
      <c r="AB42" s="8" t="s">
        <v>219</v>
      </c>
      <c r="AC42" s="53" t="str">
        <f>IFERROR(CONCATENATE(Data.[[#This Row],[DNI Ejecutivo]],Data.[[#This Row],[Periodo]]),"")</f>
        <v>4674148346143</v>
      </c>
      <c r="AD42" s="53" t="str">
        <f>IFERROR(VLOOKUP(Data.[[#This Row],[Código LT]],Reportería.[],10,0),"")</f>
        <v/>
      </c>
      <c r="AE42" s="53" t="str">
        <f>IFERROR(VLOOKUP(Data.[[#This Row],[Código LT]],Reportería.[],11,0),"")</f>
        <v/>
      </c>
      <c r="AF42" s="11">
        <v>0</v>
      </c>
      <c r="AG42" s="11"/>
      <c r="AH42" s="11"/>
      <c r="AI42" s="11">
        <f>IF(TEXT(Data.[[#This Row],[Periodo]],"mmm-yy")="may-26",VLOOKUP(Data.[[#This Row],[Código]],Reportería!A:BV,57,0),0)</f>
        <v>5501.3</v>
      </c>
      <c r="AJ42" s="11"/>
      <c r="AK42" s="11"/>
      <c r="AL42" s="11">
        <f>IF(Data.[[#This Row],[Vol M0]]="",0,0)</f>
        <v>0</v>
      </c>
      <c r="AM42" s="11">
        <f>IF(Data.[[#This Row],[Vol M0]]="",0,0)</f>
        <v>0</v>
      </c>
      <c r="AN42" s="11">
        <f>IF(Data.[[#This Row],[Vol M0]]="",0,0)</f>
        <v>0</v>
      </c>
      <c r="AO42" s="11">
        <f>IF(Data.[[#This Row],[Vol M0]]="",0,0)</f>
        <v>0</v>
      </c>
      <c r="AP42" s="11">
        <f>IF(Data.[[#This Row],[Vol M0]]="",0,0)</f>
        <v>0</v>
      </c>
      <c r="AQ42" s="11">
        <f>IF(Data.[[#This Row],[Vol M0]]="",0,0)</f>
        <v>0</v>
      </c>
      <c r="AR42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0.2</v>
      </c>
    </row>
    <row r="43" spans="1:44" ht="14.25" customHeight="1">
      <c r="A43" s="53" t="str">
        <f>CONCATENATE(Data.[[#This Row],[Código]],Data.[[#This Row],[Ruc]])</f>
        <v>595312920614355221</v>
      </c>
      <c r="B43" s="9">
        <v>46143</v>
      </c>
      <c r="C43" s="53" t="str">
        <f>IFERROR(VLOOKUP(Data.[[#This Row],[Código LT]],Reportería.[],71,0),"")</f>
        <v/>
      </c>
      <c r="D43" s="10">
        <f>IFERROR(VLOOKUP(Data.[[#This Row],[Código]],BV!A:C,2,0),"")</f>
        <v>46171</v>
      </c>
      <c r="E43" s="10">
        <f>IFERROR(VLOOKUP(Data.[[#This Row],[Código]],BV!A:C,3,0),"")</f>
        <v>46171</v>
      </c>
      <c r="F43" s="53">
        <v>5953129</v>
      </c>
      <c r="G43" s="8" t="s">
        <v>676</v>
      </c>
      <c r="H43" s="8">
        <v>20614355221</v>
      </c>
      <c r="I43" s="8" t="s">
        <v>673</v>
      </c>
      <c r="J43" s="8" t="s">
        <v>674</v>
      </c>
      <c r="K43" s="53" t="str">
        <f>IF(Data.[[#This Row],[Tipo de Venta]]&lt;&gt;"POS","Atendido",IF(Data.[[#This Row],[Fecha de Instalación]]&lt;&gt;"","Atendido","Ingresado"))</f>
        <v>Atendido</v>
      </c>
      <c r="L43" s="53" t="str">
        <f>Data.[[#This Row],[Estado]]</f>
        <v>Atendido</v>
      </c>
      <c r="M43" s="8" t="s">
        <v>33</v>
      </c>
      <c r="N43" s="53" t="str">
        <f>IFERROR(VLOOKUP(Data.[[#This Row],[Código LT]],Reportería.[],20,0),"")</f>
        <v/>
      </c>
      <c r="O43" s="53" t="str">
        <f>IFERROR(VLOOKUP(Data.[[#This Row],[Código LT]],Reportería.[],5,0),"")</f>
        <v/>
      </c>
      <c r="P43" s="11">
        <f>Data.[[#This Row],[GPV Mensual LT]]/COUNTIFS(H:H,Data.[[#This Row],[Ruc]],B:B,Data.[[#This Row],[Periodo]])</f>
        <v>36000</v>
      </c>
      <c r="Q43" s="11">
        <v>180000</v>
      </c>
      <c r="R43" s="8" t="s">
        <v>218</v>
      </c>
      <c r="S43" s="53" t="str">
        <f>VLOOKUP(Data.[[#This Row],[Ejecutivo]],Productividad!D:N,11,0)</f>
        <v>46741483</v>
      </c>
      <c r="T43" s="54" t="str">
        <f>VLOOKUP(Data.[[#This Row],[DNI Ejecutivo]],Productividad!C:U,8,0)</f>
        <v>azavalaa@lozapay.com.pe</v>
      </c>
      <c r="U43" s="53" t="str">
        <f>VLOOKUP(Data.[[#This Row],[DNI Ejecutivo]],Productividad!C:U,4,0)</f>
        <v>Hunter</v>
      </c>
      <c r="V43" s="53" t="str">
        <f>IFERROR(VLOOKUP(Data.[[#This Row],[DNI Ejecutivo]],Ejecutivos.[],11,0),"")</f>
        <v>Lima Jean</v>
      </c>
      <c r="W43" s="8" t="s">
        <v>64</v>
      </c>
      <c r="X43" s="53" t="str" cm="1">
        <f t="array" ref="X43">IFERROR(_xlfn.IFS(Data.[[#This Row],[Supervisor]]="Jonathan Lapoint","Norte",Data.[[#This Row],[Supervisor]]="Jorge Fuentes","Norte"),"Lima")</f>
        <v>Lima</v>
      </c>
      <c r="Y43" s="53" t="str">
        <f>VLOOKUP(Data.[[#This Row],[Supervisor]],Ejecutivos!B:S,17,0)</f>
        <v>47688341</v>
      </c>
      <c r="Z43" s="54" t="str">
        <f>VLOOKUP(Data.[[#This Row],[DNI Supervisor]],Productividad!C:U,8,0)</f>
        <v>jaguilar@lozapay.com.pe</v>
      </c>
      <c r="AA43" s="8"/>
      <c r="AB43" s="8" t="s">
        <v>219</v>
      </c>
      <c r="AC43" s="53" t="str">
        <f>IFERROR(CONCATENATE(Data.[[#This Row],[DNI Ejecutivo]],Data.[[#This Row],[Periodo]]),"")</f>
        <v>4674148346143</v>
      </c>
      <c r="AD43" s="53" t="str">
        <f>IFERROR(VLOOKUP(Data.[[#This Row],[Código LT]],Reportería.[],10,0),"")</f>
        <v/>
      </c>
      <c r="AE43" s="53" t="str">
        <f>IFERROR(VLOOKUP(Data.[[#This Row],[Código LT]],Reportería.[],11,0),"")</f>
        <v/>
      </c>
      <c r="AF43" s="11">
        <v>0</v>
      </c>
      <c r="AG43" s="11"/>
      <c r="AH43" s="11"/>
      <c r="AI43" s="11">
        <f>IF(TEXT(Data.[[#This Row],[Periodo]],"mmm-yy")="may-26",VLOOKUP(Data.[[#This Row],[Código]],Reportería!A:BV,57,0),0)</f>
        <v>0</v>
      </c>
      <c r="AJ43" s="11"/>
      <c r="AK43" s="11"/>
      <c r="AL43" s="11">
        <f>IF(Data.[[#This Row],[Vol M0]]="",0,0)</f>
        <v>0</v>
      </c>
      <c r="AM43" s="11">
        <f>IF(Data.[[#This Row],[Vol M0]]="",0,0)</f>
        <v>0</v>
      </c>
      <c r="AN43" s="11">
        <f>IF(Data.[[#This Row],[Vol M0]]="",0,0)</f>
        <v>0</v>
      </c>
      <c r="AO43" s="11">
        <f>IF(Data.[[#This Row],[Vol M0]]="",0,0)</f>
        <v>0</v>
      </c>
      <c r="AP43" s="11">
        <f>IF(Data.[[#This Row],[Vol M0]]="",0,0)</f>
        <v>0</v>
      </c>
      <c r="AQ43" s="11">
        <f>IF(Data.[[#This Row],[Vol M0]]="",0,0)</f>
        <v>0</v>
      </c>
      <c r="AR43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0.2</v>
      </c>
    </row>
    <row r="44" spans="1:44" ht="14.25" customHeight="1">
      <c r="A44" s="53" t="str">
        <f>CONCATENATE(Data.[[#This Row],[Código]],Data.[[#This Row],[Ruc]])</f>
        <v>595314220614355221</v>
      </c>
      <c r="B44" s="9">
        <v>46143</v>
      </c>
      <c r="C44" s="53" t="str">
        <f>IFERROR(VLOOKUP(Data.[[#This Row],[Código LT]],Reportería.[],71,0),"")</f>
        <v/>
      </c>
      <c r="D44" s="10">
        <f>IFERROR(VLOOKUP(Data.[[#This Row],[Código]],BV!A:C,2,0),"")</f>
        <v>46171</v>
      </c>
      <c r="E44" s="10">
        <f>IFERROR(VLOOKUP(Data.[[#This Row],[Código]],BV!A:C,3,0),"")</f>
        <v>46171</v>
      </c>
      <c r="F44" s="53">
        <v>5953142</v>
      </c>
      <c r="G44" s="8" t="s">
        <v>677</v>
      </c>
      <c r="H44" s="8">
        <v>20614355221</v>
      </c>
      <c r="I44" s="8" t="s">
        <v>673</v>
      </c>
      <c r="J44" s="8" t="s">
        <v>674</v>
      </c>
      <c r="K44" s="53" t="str">
        <f>IF(Data.[[#This Row],[Tipo de Venta]]&lt;&gt;"POS","Atendido",IF(Data.[[#This Row],[Fecha de Instalación]]&lt;&gt;"","Atendido","Ingresado"))</f>
        <v>Atendido</v>
      </c>
      <c r="L44" s="53" t="str">
        <f>Data.[[#This Row],[Estado]]</f>
        <v>Atendido</v>
      </c>
      <c r="M44" s="8" t="s">
        <v>33</v>
      </c>
      <c r="N44" s="53" t="str">
        <f>IFERROR(VLOOKUP(Data.[[#This Row],[Código LT]],Reportería.[],20,0),"")</f>
        <v/>
      </c>
      <c r="O44" s="53" t="str">
        <f>IFERROR(VLOOKUP(Data.[[#This Row],[Código LT]],Reportería.[],5,0),"")</f>
        <v/>
      </c>
      <c r="P44" s="11">
        <f>Data.[[#This Row],[GPV Mensual LT]]/COUNTIFS(H:H,Data.[[#This Row],[Ruc]],B:B,Data.[[#This Row],[Periodo]])</f>
        <v>36000</v>
      </c>
      <c r="Q44" s="11">
        <v>180000</v>
      </c>
      <c r="R44" s="8" t="s">
        <v>218</v>
      </c>
      <c r="S44" s="53" t="str">
        <f>VLOOKUP(Data.[[#This Row],[Ejecutivo]],Productividad!D:N,11,0)</f>
        <v>46741483</v>
      </c>
      <c r="T44" s="54" t="str">
        <f>VLOOKUP(Data.[[#This Row],[DNI Ejecutivo]],Productividad!C:U,8,0)</f>
        <v>azavalaa@lozapay.com.pe</v>
      </c>
      <c r="U44" s="53" t="str">
        <f>VLOOKUP(Data.[[#This Row],[DNI Ejecutivo]],Productividad!C:U,4,0)</f>
        <v>Hunter</v>
      </c>
      <c r="V44" s="53" t="str">
        <f>IFERROR(VLOOKUP(Data.[[#This Row],[DNI Ejecutivo]],Ejecutivos.[],11,0),"")</f>
        <v>Lima Jean</v>
      </c>
      <c r="W44" s="8" t="s">
        <v>64</v>
      </c>
      <c r="X44" s="53" t="str" cm="1">
        <f t="array" ref="X44">IFERROR(_xlfn.IFS(Data.[[#This Row],[Supervisor]]="Jonathan Lapoint","Norte",Data.[[#This Row],[Supervisor]]="Jorge Fuentes","Norte"),"Lima")</f>
        <v>Lima</v>
      </c>
      <c r="Y44" s="53" t="str">
        <f>VLOOKUP(Data.[[#This Row],[Supervisor]],Ejecutivos!B:S,17,0)</f>
        <v>47688341</v>
      </c>
      <c r="Z44" s="54" t="str">
        <f>VLOOKUP(Data.[[#This Row],[DNI Supervisor]],Productividad!C:U,8,0)</f>
        <v>jaguilar@lozapay.com.pe</v>
      </c>
      <c r="AA44" s="8"/>
      <c r="AB44" s="8" t="s">
        <v>219</v>
      </c>
      <c r="AC44" s="53" t="str">
        <f>IFERROR(CONCATENATE(Data.[[#This Row],[DNI Ejecutivo]],Data.[[#This Row],[Periodo]]),"")</f>
        <v>4674148346143</v>
      </c>
      <c r="AD44" s="53" t="str">
        <f>IFERROR(VLOOKUP(Data.[[#This Row],[Código LT]],Reportería.[],10,0),"")</f>
        <v/>
      </c>
      <c r="AE44" s="53" t="str">
        <f>IFERROR(VLOOKUP(Data.[[#This Row],[Código LT]],Reportería.[],11,0),"")</f>
        <v/>
      </c>
      <c r="AF44" s="11">
        <v>1</v>
      </c>
      <c r="AG44" s="11"/>
      <c r="AH44" s="11"/>
      <c r="AI44" s="11">
        <f>IF(TEXT(Data.[[#This Row],[Periodo]],"mmm-yy")="may-26",VLOOKUP(Data.[[#This Row],[Código]],Reportería!A:BV,57,0),0)</f>
        <v>3603.65</v>
      </c>
      <c r="AJ44" s="11"/>
      <c r="AK44" s="11"/>
      <c r="AL44" s="11">
        <f>IF(Data.[[#This Row],[Vol M0]]="",0,0)</f>
        <v>0</v>
      </c>
      <c r="AM44" s="11">
        <f>IF(Data.[[#This Row],[Vol M0]]="",0,0)</f>
        <v>0</v>
      </c>
      <c r="AN44" s="11">
        <f>IF(Data.[[#This Row],[Vol M0]]="",0,0)</f>
        <v>0</v>
      </c>
      <c r="AO44" s="11">
        <f>IF(Data.[[#This Row],[Vol M0]]="",0,0)</f>
        <v>0</v>
      </c>
      <c r="AP44" s="11">
        <f>IF(Data.[[#This Row],[Vol M0]]="",0,0)</f>
        <v>0</v>
      </c>
      <c r="AQ44" s="11">
        <f>IF(Data.[[#This Row],[Vol M0]]="",0,0)</f>
        <v>0</v>
      </c>
      <c r="AR44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0.2</v>
      </c>
    </row>
    <row r="45" spans="1:44" ht="14.25" customHeight="1">
      <c r="A45" s="55" t="str">
        <f>CONCATENATE(Data.[[#This Row],[Código]],Data.[[#This Row],[Ruc]])</f>
        <v>595315520614355221</v>
      </c>
      <c r="B45" s="9">
        <v>46143</v>
      </c>
      <c r="C45" s="55" t="str">
        <f>IFERROR(VLOOKUP(Data.[[#This Row],[Código LT]],Reportería.[],71,0),"")</f>
        <v/>
      </c>
      <c r="D45" s="52">
        <f>IFERROR(VLOOKUP(Data.[[#This Row],[Código]],BV!A:C,2,0),"")</f>
        <v>46171</v>
      </c>
      <c r="E45" s="10">
        <f>IFERROR(VLOOKUP(Data.[[#This Row],[Código]],BV!A:C,3,0),"")</f>
        <v>46171</v>
      </c>
      <c r="F45" s="55">
        <v>5953155</v>
      </c>
      <c r="G45" s="12" t="s">
        <v>678</v>
      </c>
      <c r="H45" s="12">
        <v>20614355221</v>
      </c>
      <c r="I45" s="12" t="s">
        <v>673</v>
      </c>
      <c r="J45" s="12" t="s">
        <v>674</v>
      </c>
      <c r="K45" s="55" t="str">
        <f>IF(Data.[[#This Row],[Tipo de Venta]]&lt;&gt;"POS","Atendido",IF(Data.[[#This Row],[Fecha de Instalación]]&lt;&gt;"","Atendido","Ingresado"))</f>
        <v>Atendido</v>
      </c>
      <c r="L45" s="55" t="str">
        <f>Data.[[#This Row],[Estado]]</f>
        <v>Atendido</v>
      </c>
      <c r="M45" s="8" t="s">
        <v>33</v>
      </c>
      <c r="N45" s="55" t="str">
        <f>IFERROR(VLOOKUP(Data.[[#This Row],[Código LT]],Reportería.[],20,0),"")</f>
        <v/>
      </c>
      <c r="O45" s="55" t="str">
        <f>IFERROR(VLOOKUP(Data.[[#This Row],[Código LT]],Reportería.[],5,0),"")</f>
        <v/>
      </c>
      <c r="P45" s="13">
        <f>Data.[[#This Row],[GPV Mensual LT]]/COUNTIFS(H:H,Data.[[#This Row],[Ruc]],B:B,Data.[[#This Row],[Periodo]])</f>
        <v>36000</v>
      </c>
      <c r="Q45" s="13">
        <v>180000</v>
      </c>
      <c r="R45" s="8" t="s">
        <v>218</v>
      </c>
      <c r="S45" s="55" t="str">
        <f>VLOOKUP(Data.[[#This Row],[Ejecutivo]],Productividad!D:N,11,0)</f>
        <v>46741483</v>
      </c>
      <c r="T45" s="56" t="str">
        <f>VLOOKUP(Data.[[#This Row],[DNI Ejecutivo]],Productividad!C:U,8,0)</f>
        <v>azavalaa@lozapay.com.pe</v>
      </c>
      <c r="U45" s="55" t="str">
        <f>VLOOKUP(Data.[[#This Row],[DNI Ejecutivo]],Productividad!C:U,4,0)</f>
        <v>Hunter</v>
      </c>
      <c r="V45" s="55" t="str">
        <f>IFERROR(VLOOKUP(Data.[[#This Row],[DNI Ejecutivo]],Ejecutivos.[],11,0),"")</f>
        <v>Lima Jean</v>
      </c>
      <c r="W45" s="8" t="s">
        <v>64</v>
      </c>
      <c r="X45" s="55" t="str" cm="1">
        <f t="array" ref="X45">IFERROR(_xlfn.IFS(Data.[[#This Row],[Supervisor]]="Jonathan Lapoint","Norte",Data.[[#This Row],[Supervisor]]="Jorge Fuentes","Norte"),"Lima")</f>
        <v>Lima</v>
      </c>
      <c r="Y45" s="55" t="str">
        <f>VLOOKUP(Data.[[#This Row],[Supervisor]],Ejecutivos!B:S,17,0)</f>
        <v>47688341</v>
      </c>
      <c r="Z45" s="56" t="str">
        <f>VLOOKUP(Data.[[#This Row],[DNI Supervisor]],Productividad!C:U,8,0)</f>
        <v>jaguilar@lozapay.com.pe</v>
      </c>
      <c r="AA45" s="12"/>
      <c r="AB45" s="12" t="s">
        <v>219</v>
      </c>
      <c r="AC45" s="55" t="str">
        <f>IFERROR(CONCATENATE(Data.[[#This Row],[DNI Ejecutivo]],Data.[[#This Row],[Periodo]]),"")</f>
        <v>4674148346143</v>
      </c>
      <c r="AD45" s="55" t="str">
        <f>IFERROR(VLOOKUP(Data.[[#This Row],[Código LT]],Reportería.[],10,0),"")</f>
        <v/>
      </c>
      <c r="AE45" s="55" t="str">
        <f>IFERROR(VLOOKUP(Data.[[#This Row],[Código LT]],Reportería.[],11,0),"")</f>
        <v/>
      </c>
      <c r="AF45" s="13">
        <v>0</v>
      </c>
      <c r="AG45" s="13"/>
      <c r="AH45" s="13"/>
      <c r="AI45" s="11">
        <f>IF(TEXT(Data.[[#This Row],[Periodo]],"mmm-yy")="may-26",VLOOKUP(Data.[[#This Row],[Código]],Reportería!A:BV,57,0),0)</f>
        <v>2989.5</v>
      </c>
      <c r="AJ45" s="13"/>
      <c r="AK45" s="13"/>
      <c r="AL45" s="13">
        <f>IF(Data.[[#This Row],[Vol M0]]="",0,0)</f>
        <v>0</v>
      </c>
      <c r="AM45" s="13">
        <f>IF(Data.[[#This Row],[Vol M0]]="",0,0)</f>
        <v>0</v>
      </c>
      <c r="AN45" s="13">
        <f>IF(Data.[[#This Row],[Vol M0]]="",0,0)</f>
        <v>0</v>
      </c>
      <c r="AO45" s="13">
        <f>IF(Data.[[#This Row],[Vol M0]]="",0,0)</f>
        <v>0</v>
      </c>
      <c r="AP45" s="13">
        <f>IF(Data.[[#This Row],[Vol M0]]="",0,0)</f>
        <v>0</v>
      </c>
      <c r="AQ45" s="13">
        <f>IF(Data.[[#This Row],[Vol M0]]="",0,0)</f>
        <v>0</v>
      </c>
      <c r="AR45" s="13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0.2</v>
      </c>
    </row>
    <row r="46" spans="1:44" ht="14.25" customHeight="1">
      <c r="A46" s="55" t="str">
        <f>CONCATENATE(Data.[[#This Row],[Código]],Data.[[#This Row],[Ruc]])</f>
        <v>503595620509678244</v>
      </c>
      <c r="B46" s="9">
        <v>46174</v>
      </c>
      <c r="C46" s="55" t="str">
        <f>IFERROR(VLOOKUP(Data.[[#This Row],[Código LT]],Reportería.[],71,0),"")</f>
        <v/>
      </c>
      <c r="D46" s="52">
        <f>IFERROR(VLOOKUP(Data.[[#This Row],[Código]],BV!A:C,2,0),"")</f>
        <v>46171</v>
      </c>
      <c r="E46" s="52">
        <f>IFERROR(VLOOKUP(Data.[[#This Row],[Código]],BV!A:C,3,0),"")</f>
        <v>46174</v>
      </c>
      <c r="F46" s="55">
        <v>5035956</v>
      </c>
      <c r="G46" s="12" t="s">
        <v>701</v>
      </c>
      <c r="H46" s="12">
        <v>20509678244</v>
      </c>
      <c r="I46" s="12" t="s">
        <v>702</v>
      </c>
      <c r="J46" s="12" t="s">
        <v>703</v>
      </c>
      <c r="K46" s="55" t="str">
        <f>IF(Data.[[#This Row],[Tipo de Venta]]&lt;&gt;"POS","Atendido",IF(Data.[[#This Row],[Fecha de Instalación]]&lt;&gt;"","Atendido","Ingresado"))</f>
        <v>Atendido</v>
      </c>
      <c r="L46" s="55" t="str">
        <f>Data.[[#This Row],[Estado]]</f>
        <v>Atendido</v>
      </c>
      <c r="M46" s="8" t="s">
        <v>33</v>
      </c>
      <c r="N46" s="55" t="str">
        <f>IFERROR(VLOOKUP(Data.[[#This Row],[Código LT]],Reportería.[],20,0),"")</f>
        <v/>
      </c>
      <c r="O46" s="55" t="str">
        <f>IFERROR(VLOOKUP(Data.[[#This Row],[Código LT]],Reportería.[],5,0),"")</f>
        <v/>
      </c>
      <c r="P46" s="13">
        <f>Data.[[#This Row],[GPV Mensual LT]]/COUNTIFS(H:H,Data.[[#This Row],[Ruc]],B:B,Data.[[#This Row],[Periodo]])</f>
        <v>50000</v>
      </c>
      <c r="Q46" s="13">
        <v>50000</v>
      </c>
      <c r="R46" s="12" t="s">
        <v>41</v>
      </c>
      <c r="S46" s="55" t="str">
        <f>VLOOKUP(Data.[[#This Row],[Ejecutivo]],Productividad!D:N,11,0)</f>
        <v>002409208</v>
      </c>
      <c r="T46" s="56" t="str">
        <f>VLOOKUP(Data.[[#This Row],[DNI Ejecutivo]],Productividad!C:U,8,0)</f>
        <v>jose.mujica@lozapay.com.pe</v>
      </c>
      <c r="U46" s="55" t="str">
        <f>VLOOKUP(Data.[[#This Row],[DNI Ejecutivo]],Productividad!C:U,4,0)</f>
        <v>Senior</v>
      </c>
      <c r="V46" s="55" t="str">
        <f>IFERROR(VLOOKUP(Data.[[#This Row],[DNI Ejecutivo]],Ejecutivos.[],11,0),"")</f>
        <v>Norte Fuentes</v>
      </c>
      <c r="W46" s="12" t="s">
        <v>42</v>
      </c>
      <c r="X46" s="55" t="str" cm="1">
        <f t="array" ref="X46">IFERROR(_xlfn.IFS(Data.[[#This Row],[Supervisor]]="Jonathan Lapoint","Norte",Data.[[#This Row],[Supervisor]]="Jorge Fuentes","Norte"),"Lima")</f>
        <v>Norte</v>
      </c>
      <c r="Y46" s="55" t="str">
        <f>VLOOKUP(Data.[[#This Row],[Supervisor]],Ejecutivos!B:S,17,0)</f>
        <v>70059865</v>
      </c>
      <c r="Z46" s="56" t="str">
        <f>VLOOKUP(Data.[[#This Row],[DNI Supervisor]],Productividad!C:U,8,0)</f>
        <v>jfuentes@lozapay.com.pe</v>
      </c>
      <c r="AA46" s="12"/>
      <c r="AB46" s="12" t="s">
        <v>43</v>
      </c>
      <c r="AC46" s="55" t="str">
        <f>IFERROR(CONCATENATE(Data.[[#This Row],[DNI Ejecutivo]],Data.[[#This Row],[Periodo]]),"")</f>
        <v>00240920846174</v>
      </c>
      <c r="AD46" s="55" t="str">
        <f>IFERROR(VLOOKUP(Data.[[#This Row],[Código LT]],Reportería.[],10,0),"")</f>
        <v/>
      </c>
      <c r="AE46" s="55" t="str">
        <f>IFERROR(VLOOKUP(Data.[[#This Row],[Código LT]],Reportería.[],11,0),"")</f>
        <v/>
      </c>
      <c r="AF46" s="13">
        <v>37430</v>
      </c>
      <c r="AG46" s="13"/>
      <c r="AH46" s="13"/>
      <c r="AI46" s="11">
        <f>IF(TEXT(Data.[[#This Row],[Periodo]],"mmm-yy")="may-26",VLOOKUP(Data.[[#This Row],[Código]],Reportería!A:BV,57,0),0)</f>
        <v>0</v>
      </c>
      <c r="AJ46" s="13"/>
      <c r="AK46" s="13"/>
      <c r="AL46" s="13">
        <f>IF(Data.[[#This Row],[Vol M0]]="",0,0)</f>
        <v>0</v>
      </c>
      <c r="AM46" s="13">
        <f>IF(Data.[[#This Row],[Vol M0]]="",0,0)</f>
        <v>0</v>
      </c>
      <c r="AN46" s="13">
        <f>IF(Data.[[#This Row],[Vol M0]]="",0,0)</f>
        <v>0</v>
      </c>
      <c r="AO46" s="13">
        <f>IF(Data.[[#This Row],[Vol M0]]="",0,0)</f>
        <v>0</v>
      </c>
      <c r="AP46" s="13">
        <f>IF(Data.[[#This Row],[Vol M0]]="",0,0)</f>
        <v>0</v>
      </c>
      <c r="AQ46" s="13">
        <f>IF(Data.[[#This Row],[Vol M0]]="",0,0)</f>
        <v>0</v>
      </c>
      <c r="AR46" s="13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1</v>
      </c>
    </row>
    <row r="47" spans="1:44" ht="14.25" customHeight="1">
      <c r="A47" s="53" t="str">
        <f>CONCATENATE(Data.[[#This Row],[Código]],Data.[[#This Row],[Ruc]])</f>
        <v>105882620609012197</v>
      </c>
      <c r="B47" s="9">
        <v>46174</v>
      </c>
      <c r="C47" s="53" t="str">
        <f>IFERROR(VLOOKUP(Data.[[#This Row],[Código LT]],Reportería.[],71,0),"")</f>
        <v/>
      </c>
      <c r="D47" s="10">
        <f>IFERROR(VLOOKUP(Data.[[#This Row],[Código]],BV!A:C,2,0),"")</f>
        <v>46174</v>
      </c>
      <c r="E47" s="10">
        <f>IFERROR(VLOOKUP(Data.[[#This Row],[Código]],BV!A:C,3,0),"")</f>
        <v>0</v>
      </c>
      <c r="F47" s="53">
        <v>1058826</v>
      </c>
      <c r="G47" s="8"/>
      <c r="H47" s="8">
        <v>20609012197</v>
      </c>
      <c r="I47" s="8" t="s">
        <v>704</v>
      </c>
      <c r="J47" s="8" t="s">
        <v>704</v>
      </c>
      <c r="K47" s="53" t="str">
        <f>IF(Data.[[#This Row],[Tipo de Venta]]&lt;&gt;"POS","Atendido",IF(Data.[[#This Row],[Fecha de Instalación]]&lt;&gt;"","Atendido","Ingresado"))</f>
        <v>Atendido</v>
      </c>
      <c r="L47" s="53" t="str">
        <f>Data.[[#This Row],[Estado]]</f>
        <v>Atendido</v>
      </c>
      <c r="M47" s="8" t="s">
        <v>33</v>
      </c>
      <c r="N47" s="53" t="str">
        <f>IFERROR(VLOOKUP(Data.[[#This Row],[Código LT]],Reportería.[],20,0),"")</f>
        <v/>
      </c>
      <c r="O47" s="53" t="str">
        <f>IFERROR(VLOOKUP(Data.[[#This Row],[Código LT]],Reportería.[],5,0),"")</f>
        <v/>
      </c>
      <c r="P47" s="11">
        <f>Data.[[#This Row],[GPV Mensual LT]]/COUNTIFS(H:H,Data.[[#This Row],[Ruc]],B:B,Data.[[#This Row],[Periodo]])</f>
        <v>250000</v>
      </c>
      <c r="Q47" s="13">
        <v>250000</v>
      </c>
      <c r="R47" s="8" t="s">
        <v>80</v>
      </c>
      <c r="S47" s="53" t="str">
        <f>VLOOKUP(Data.[[#This Row],[Ejecutivo]],Productividad!D:N,11,0)</f>
        <v>46998250</v>
      </c>
      <c r="T47" s="54" t="str">
        <f>VLOOKUP(Data.[[#This Row],[DNI Ejecutivo]],Productividad!C:U,8,0)</f>
        <v>mgodoyc@lozapay.com.pe</v>
      </c>
      <c r="U47" s="53" t="str">
        <f>VLOOKUP(Data.[[#This Row],[DNI Ejecutivo]],Productividad!C:U,4,0)</f>
        <v>Elite</v>
      </c>
      <c r="V47" s="53" t="str">
        <f>IFERROR(VLOOKUP(Data.[[#This Row],[DNI Ejecutivo]],Ejecutivos.[],11,0),"")</f>
        <v>Lima Palomino</v>
      </c>
      <c r="W47" s="8" t="s">
        <v>35</v>
      </c>
      <c r="X47" s="53" t="str" cm="1">
        <f t="array" ref="X47">IFERROR(_xlfn.IFS(Data.[[#This Row],[Supervisor]]="Jonathan Lapoint","Norte",Data.[[#This Row],[Supervisor]]="Jorge Fuentes","Norte"),"Lima")</f>
        <v>Lima</v>
      </c>
      <c r="Y47" s="53" t="str">
        <f>VLOOKUP(Data.[[#This Row],[Supervisor]],Ejecutivos!B:S,17,0)</f>
        <v>41718975</v>
      </c>
      <c r="Z47" s="54" t="str">
        <f>VLOOKUP(Data.[[#This Row],[DNI Supervisor]],Productividad!C:U,8,0)</f>
        <v>carlos.palomino@lozapay.com.pe</v>
      </c>
      <c r="AA47" s="8"/>
      <c r="AB47" s="8" t="s">
        <v>81</v>
      </c>
      <c r="AC47" s="53" t="str">
        <f>IFERROR(CONCATENATE(Data.[[#This Row],[DNI Ejecutivo]],Data.[[#This Row],[Periodo]]),"")</f>
        <v>4699825046174</v>
      </c>
      <c r="AD47" s="53" t="str">
        <f>IFERROR(VLOOKUP(Data.[[#This Row],[Código LT]],Reportería.[],10,0),"")</f>
        <v/>
      </c>
      <c r="AE47" s="53" t="str">
        <f>IFERROR(VLOOKUP(Data.[[#This Row],[Código LT]],Reportería.[],11,0),"")</f>
        <v/>
      </c>
      <c r="AF47" s="13">
        <f>IFERROR(VLOOKUP(Data.[[#This Row],[Código]],Reportería!A:BV,57,0),0)</f>
        <v>126304</v>
      </c>
      <c r="AG47" s="13"/>
      <c r="AH47" s="13"/>
      <c r="AI47" s="11">
        <f>IF(TEXT(Data.[[#This Row],[Periodo]],"mmm-yy")="may-26",VLOOKUP(Data.[[#This Row],[Código]],Reportería!A:BV,57,0),0)</f>
        <v>0</v>
      </c>
      <c r="AJ47" s="11"/>
      <c r="AK47" s="11"/>
      <c r="AL47" s="11">
        <f>IF(Data.[[#This Row],[Vol M0]]="",0,0)</f>
        <v>0</v>
      </c>
      <c r="AM47" s="11">
        <f>IF(Data.[[#This Row],[Vol M0]]="",0,0)</f>
        <v>0</v>
      </c>
      <c r="AN47" s="11">
        <f>IF(Data.[[#This Row],[Vol M0]]="",0,0)</f>
        <v>0</v>
      </c>
      <c r="AO47" s="11">
        <f>IF(Data.[[#This Row],[Vol M0]]="",0,0)</f>
        <v>0</v>
      </c>
      <c r="AP47" s="11">
        <f>IF(Data.[[#This Row],[Vol M0]]="",0,0)</f>
        <v>0</v>
      </c>
      <c r="AQ47" s="11">
        <f>IF(Data.[[#This Row],[Vol M0]]="",0,0)</f>
        <v>0</v>
      </c>
      <c r="AR47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1</v>
      </c>
    </row>
    <row r="48" spans="1:44" ht="14.25" customHeight="1">
      <c r="A48" s="53" t="str">
        <f>CONCATENATE(Data.[[#This Row],[Código]],Data.[[#This Row],[Ruc]])</f>
        <v>595442610402573452</v>
      </c>
      <c r="B48" s="9">
        <v>46174</v>
      </c>
      <c r="C48" s="53" t="str">
        <f>IFERROR(VLOOKUP(Data.[[#This Row],[Código LT]],Reportería.[],71,0),"")</f>
        <v/>
      </c>
      <c r="D48" s="10">
        <f>IFERROR(VLOOKUP(Data.[[#This Row],[Código]],BV!A:C,2,0),"")</f>
        <v>46174</v>
      </c>
      <c r="E48" s="10">
        <f>IFERROR(VLOOKUP(Data.[[#This Row],[Código]],BV!A:C,3,0),"")</f>
        <v>46175</v>
      </c>
      <c r="F48" s="53">
        <v>5954426</v>
      </c>
      <c r="G48" s="8" t="s">
        <v>705</v>
      </c>
      <c r="H48" s="8">
        <v>10402573452</v>
      </c>
      <c r="I48" s="8" t="s">
        <v>706</v>
      </c>
      <c r="J48" s="8" t="s">
        <v>707</v>
      </c>
      <c r="K48" s="53" t="str">
        <f>IF(Data.[[#This Row],[Tipo de Venta]]&lt;&gt;"POS","Atendido",IF(Data.[[#This Row],[Fecha de Instalación]]&lt;&gt;"","Atendido","Ingresado"))</f>
        <v>Atendido</v>
      </c>
      <c r="L48" s="53" t="str">
        <f>Data.[[#This Row],[Estado]]</f>
        <v>Atendido</v>
      </c>
      <c r="M48" s="8" t="s">
        <v>33</v>
      </c>
      <c r="N48" s="53" t="str">
        <f>IFERROR(VLOOKUP(Data.[[#This Row],[Código LT]],Reportería.[],20,0),"")</f>
        <v/>
      </c>
      <c r="O48" s="53" t="str">
        <f>IFERROR(VLOOKUP(Data.[[#This Row],[Código LT]],Reportería.[],5,0),"")</f>
        <v/>
      </c>
      <c r="P48" s="11">
        <f>Data.[[#This Row],[GPV Mensual LT]]/COUNTIFS(H:H,Data.[[#This Row],[Ruc]],B:B,Data.[[#This Row],[Periodo]])</f>
        <v>25000</v>
      </c>
      <c r="Q48" s="13">
        <v>25000</v>
      </c>
      <c r="R48" s="8" t="s">
        <v>208</v>
      </c>
      <c r="S48" s="53" t="str">
        <f>VLOOKUP(Data.[[#This Row],[Ejecutivo]],Productividad!D:N,11,0)</f>
        <v>40610358</v>
      </c>
      <c r="T48" s="54" t="str">
        <f>VLOOKUP(Data.[[#This Row],[DNI Ejecutivo]],Productividad!C:U,8,0)</f>
        <v>najaramar@lozapay.com.pe</v>
      </c>
      <c r="U48" s="53" t="str">
        <f>VLOOKUP(Data.[[#This Row],[DNI Ejecutivo]],Productividad!C:U,4,0)</f>
        <v>Hunter</v>
      </c>
      <c r="V48" s="53" t="str">
        <f>IFERROR(VLOOKUP(Data.[[#This Row],[DNI Ejecutivo]],Ejecutivos.[],11,0),"")</f>
        <v>Lima Hamm</v>
      </c>
      <c r="W48" s="8" t="s">
        <v>48</v>
      </c>
      <c r="X48" s="53" t="str" cm="1">
        <f t="array" ref="X48">IFERROR(_xlfn.IFS(Data.[[#This Row],[Supervisor]]="Jonathan Lapoint","Norte",Data.[[#This Row],[Supervisor]]="Jorge Fuentes","Norte"),"Lima")</f>
        <v>Lima</v>
      </c>
      <c r="Y48" s="53" t="str">
        <f>VLOOKUP(Data.[[#This Row],[Supervisor]],Ejecutivos!B:S,17,0)</f>
        <v>44818200</v>
      </c>
      <c r="Z48" s="54" t="str">
        <f>VLOOKUP(Data.[[#This Row],[DNI Supervisor]],Productividad!C:U,8,0)</f>
        <v>hramirezp@lozapay.com.pe</v>
      </c>
      <c r="AA48" s="8"/>
      <c r="AB48" s="8" t="s">
        <v>209</v>
      </c>
      <c r="AC48" s="53" t="str">
        <f>IFERROR(CONCATENATE(Data.[[#This Row],[DNI Ejecutivo]],Data.[[#This Row],[Periodo]]),"")</f>
        <v>4061035846174</v>
      </c>
      <c r="AD48" s="53" t="str">
        <f>IFERROR(VLOOKUP(Data.[[#This Row],[Código LT]],Reportería.[],10,0),"")</f>
        <v/>
      </c>
      <c r="AE48" s="53" t="str">
        <f>IFERROR(VLOOKUP(Data.[[#This Row],[Código LT]],Reportería.[],11,0),"")</f>
        <v/>
      </c>
      <c r="AF48" s="13">
        <f>IFERROR(VLOOKUP(Data.[[#This Row],[Código]],Reportería!A:BV,57,0),0)</f>
        <v>0</v>
      </c>
      <c r="AG48" s="13"/>
      <c r="AH48" s="13"/>
      <c r="AI48" s="11">
        <f>IF(TEXT(Data.[[#This Row],[Periodo]],"mmm-yy")="may-26",VLOOKUP(Data.[[#This Row],[Código]],Reportería!A:BV,57,0),0)</f>
        <v>0</v>
      </c>
      <c r="AJ48" s="11"/>
      <c r="AK48" s="11"/>
      <c r="AL48" s="11">
        <f>IF(Data.[[#This Row],[Vol M0]]="",0,0)</f>
        <v>0</v>
      </c>
      <c r="AM48" s="11">
        <f>IF(Data.[[#This Row],[Vol M0]]="",0,0)</f>
        <v>0</v>
      </c>
      <c r="AN48" s="11">
        <f>IF(Data.[[#This Row],[Vol M0]]="",0,0)</f>
        <v>0</v>
      </c>
      <c r="AO48" s="11">
        <f>IF(Data.[[#This Row],[Vol M0]]="",0,0)</f>
        <v>0</v>
      </c>
      <c r="AP48" s="11">
        <f>IF(Data.[[#This Row],[Vol M0]]="",0,0)</f>
        <v>0</v>
      </c>
      <c r="AQ48" s="11">
        <f>IF(Data.[[#This Row],[Vol M0]]="",0,0)</f>
        <v>0</v>
      </c>
      <c r="AR48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49" spans="1:44" ht="14.25" customHeight="1">
      <c r="A49" s="53" t="str">
        <f>CONCATENATE(Data.[[#This Row],[Código]],Data.[[#This Row],[Ruc]])</f>
        <v>595468020615781003</v>
      </c>
      <c r="B49" s="9">
        <v>46174</v>
      </c>
      <c r="C49" s="53" t="str">
        <f>IFERROR(VLOOKUP(Data.[[#This Row],[Código LT]],Reportería.[],71,0),"")</f>
        <v/>
      </c>
      <c r="D49" s="10">
        <f>IFERROR(VLOOKUP(Data.[[#This Row],[Código]],BV!A:C,2,0),"")</f>
        <v>46175</v>
      </c>
      <c r="E49" s="10">
        <f>IFERROR(VLOOKUP(Data.[[#This Row],[Código]],BV!A:C,3,0),"")</f>
        <v>46175</v>
      </c>
      <c r="F49" s="53">
        <v>5954680</v>
      </c>
      <c r="G49" s="8" t="s">
        <v>725</v>
      </c>
      <c r="H49" s="8">
        <v>20615781003</v>
      </c>
      <c r="I49" s="8" t="s">
        <v>726</v>
      </c>
      <c r="J49" s="8" t="s">
        <v>727</v>
      </c>
      <c r="K49" s="53" t="str">
        <f>IF(Data.[[#This Row],[Tipo de Venta]]&lt;&gt;"POS","Atendido",IF(Data.[[#This Row],[Fecha de Instalación]]&lt;&gt;"","Atendido","Ingresado"))</f>
        <v>Atendido</v>
      </c>
      <c r="L49" s="53" t="str">
        <f>Data.[[#This Row],[Estado]]</f>
        <v>Atendido</v>
      </c>
      <c r="M49" s="8" t="s">
        <v>33</v>
      </c>
      <c r="N49" s="53" t="str">
        <f>IFERROR(VLOOKUP(Data.[[#This Row],[Código LT]],Reportería.[],20,0),"")</f>
        <v/>
      </c>
      <c r="O49" s="53" t="str">
        <f>IFERROR(VLOOKUP(Data.[[#This Row],[Código LT]],Reportería.[],5,0),"")</f>
        <v/>
      </c>
      <c r="P49" s="11">
        <f>Data.[[#This Row],[GPV Mensual LT]]/COUNTIFS(H:H,Data.[[#This Row],[Ruc]],B:B,Data.[[#This Row],[Periodo]])</f>
        <v>20000</v>
      </c>
      <c r="Q49" s="11">
        <v>40000</v>
      </c>
      <c r="R49" s="8" t="s">
        <v>218</v>
      </c>
      <c r="S49" s="53" t="str">
        <f>VLOOKUP(Data.[[#This Row],[Ejecutivo]],Productividad!D:N,11,0)</f>
        <v>46741483</v>
      </c>
      <c r="T49" s="54" t="str">
        <f>VLOOKUP(Data.[[#This Row],[DNI Ejecutivo]],Productividad!C:U,8,0)</f>
        <v>azavalaa@lozapay.com.pe</v>
      </c>
      <c r="U49" s="53" t="str">
        <f>VLOOKUP(Data.[[#This Row],[DNI Ejecutivo]],Productividad!C:U,4,0)</f>
        <v>Hunter</v>
      </c>
      <c r="V49" s="53" t="str">
        <f>IFERROR(VLOOKUP(Data.[[#This Row],[DNI Ejecutivo]],Ejecutivos.[],11,0),"")</f>
        <v>Lima Jean</v>
      </c>
      <c r="W49" s="8" t="s">
        <v>64</v>
      </c>
      <c r="X49" s="53" t="str" cm="1">
        <f t="array" ref="X49">IFERROR(_xlfn.IFS(Data.[[#This Row],[Supervisor]]="Jonathan Lapoint","Norte",Data.[[#This Row],[Supervisor]]="Jorge Fuentes","Norte"),"Lima")</f>
        <v>Lima</v>
      </c>
      <c r="Y49" s="53" t="str">
        <f>VLOOKUP(Data.[[#This Row],[Supervisor]],Ejecutivos!B:S,17,0)</f>
        <v>47688341</v>
      </c>
      <c r="Z49" s="54" t="str">
        <f>VLOOKUP(Data.[[#This Row],[DNI Supervisor]],Productividad!C:U,8,0)</f>
        <v>jaguilar@lozapay.com.pe</v>
      </c>
      <c r="AA49" s="8"/>
      <c r="AB49" s="8" t="s">
        <v>219</v>
      </c>
      <c r="AC49" s="53" t="str">
        <f>IFERROR(CONCATENATE(Data.[[#This Row],[DNI Ejecutivo]],Data.[[#This Row],[Periodo]]),"")</f>
        <v>4674148346174</v>
      </c>
      <c r="AD49" s="53" t="str">
        <f>IFERROR(VLOOKUP(Data.[[#This Row],[Código LT]],Reportería.[],10,0),"")</f>
        <v/>
      </c>
      <c r="AE49" s="53" t="str">
        <f>IFERROR(VLOOKUP(Data.[[#This Row],[Código LT]],Reportería.[],11,0),"")</f>
        <v/>
      </c>
      <c r="AF49" s="13">
        <f>IFERROR(VLOOKUP(Data.[[#This Row],[Código]],Reportería!A:BV,57,0),0)</f>
        <v>13158.7</v>
      </c>
      <c r="AG49" s="13"/>
      <c r="AH49" s="13"/>
      <c r="AI49" s="11">
        <f>IF(TEXT(Data.[[#This Row],[Periodo]],"mmm-yy")="may-26",VLOOKUP(Data.[[#This Row],[Código]],Reportería!A:BV,57,0),0)</f>
        <v>0</v>
      </c>
      <c r="AJ49" s="11"/>
      <c r="AK49" s="11"/>
      <c r="AL49" s="11">
        <f>IF(Data.[[#This Row],[Vol M0]]="",0,0)</f>
        <v>0</v>
      </c>
      <c r="AM49" s="11">
        <f>IF(Data.[[#This Row],[Vol M0]]="",0,0)</f>
        <v>0</v>
      </c>
      <c r="AN49" s="11">
        <f>IF(Data.[[#This Row],[Vol M0]]="",0,0)</f>
        <v>0</v>
      </c>
      <c r="AO49" s="11">
        <f>IF(Data.[[#This Row],[Vol M0]]="",0,0)</f>
        <v>0</v>
      </c>
      <c r="AP49" s="11">
        <f>IF(Data.[[#This Row],[Vol M0]]="",0,0)</f>
        <v>0</v>
      </c>
      <c r="AQ49" s="11">
        <f>IF(Data.[[#This Row],[Vol M0]]="",0,0)</f>
        <v>0</v>
      </c>
      <c r="AR49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0.5</v>
      </c>
    </row>
    <row r="50" spans="1:44" ht="14.25" customHeight="1">
      <c r="A50" s="53" t="str">
        <f>CONCATENATE(Data.[[#This Row],[Código]],Data.[[#This Row],[Ruc]])</f>
        <v>595468620615781003</v>
      </c>
      <c r="B50" s="9">
        <v>46174</v>
      </c>
      <c r="C50" s="53" t="str">
        <f>IFERROR(VLOOKUP(Data.[[#This Row],[Código LT]],Reportería.[],71,0),"")</f>
        <v/>
      </c>
      <c r="D50" s="10">
        <f>IFERROR(VLOOKUP(Data.[[#This Row],[Código]],BV!A:C,2,0),"")</f>
        <v>46175</v>
      </c>
      <c r="E50" s="10">
        <f>IFERROR(VLOOKUP(Data.[[#This Row],[Código]],BV!A:C,3,0),"")</f>
        <v>46175</v>
      </c>
      <c r="F50" s="53">
        <v>5954686</v>
      </c>
      <c r="G50" s="8" t="s">
        <v>728</v>
      </c>
      <c r="H50" s="8">
        <v>20615781003</v>
      </c>
      <c r="I50" s="8" t="s">
        <v>726</v>
      </c>
      <c r="J50" s="8" t="s">
        <v>727</v>
      </c>
      <c r="K50" s="53" t="str">
        <f>IF(Data.[[#This Row],[Tipo de Venta]]&lt;&gt;"POS","Atendido",IF(Data.[[#This Row],[Fecha de Instalación]]&lt;&gt;"","Atendido","Ingresado"))</f>
        <v>Atendido</v>
      </c>
      <c r="L50" s="53" t="str">
        <f>Data.[[#This Row],[Estado]]</f>
        <v>Atendido</v>
      </c>
      <c r="M50" s="8" t="s">
        <v>33</v>
      </c>
      <c r="N50" s="53" t="str">
        <f>IFERROR(VLOOKUP(Data.[[#This Row],[Código LT]],Reportería.[],20,0),"")</f>
        <v/>
      </c>
      <c r="O50" s="53" t="str">
        <f>IFERROR(VLOOKUP(Data.[[#This Row],[Código LT]],Reportería.[],5,0),"")</f>
        <v/>
      </c>
      <c r="P50" s="11">
        <f>Data.[[#This Row],[GPV Mensual LT]]/COUNTIFS(H:H,Data.[[#This Row],[Ruc]],B:B,Data.[[#This Row],[Periodo]])</f>
        <v>20000</v>
      </c>
      <c r="Q50" s="11">
        <v>40000</v>
      </c>
      <c r="R50" s="8" t="s">
        <v>218</v>
      </c>
      <c r="S50" s="53" t="str">
        <f>VLOOKUP(Data.[[#This Row],[Ejecutivo]],Productividad!D:N,11,0)</f>
        <v>46741483</v>
      </c>
      <c r="T50" s="54" t="str">
        <f>VLOOKUP(Data.[[#This Row],[DNI Ejecutivo]],Productividad!C:U,8,0)</f>
        <v>azavalaa@lozapay.com.pe</v>
      </c>
      <c r="U50" s="53" t="str">
        <f>VLOOKUP(Data.[[#This Row],[DNI Ejecutivo]],Productividad!C:U,4,0)</f>
        <v>Hunter</v>
      </c>
      <c r="V50" s="53" t="str">
        <f>IFERROR(VLOOKUP(Data.[[#This Row],[DNI Ejecutivo]],Ejecutivos.[],11,0),"")</f>
        <v>Lima Jean</v>
      </c>
      <c r="W50" s="8" t="s">
        <v>64</v>
      </c>
      <c r="X50" s="53" t="str" cm="1">
        <f t="array" ref="X50">IFERROR(_xlfn.IFS(Data.[[#This Row],[Supervisor]]="Jonathan Lapoint","Norte",Data.[[#This Row],[Supervisor]]="Jorge Fuentes","Norte"),"Lima")</f>
        <v>Lima</v>
      </c>
      <c r="Y50" s="53" t="str">
        <f>VLOOKUP(Data.[[#This Row],[Supervisor]],Ejecutivos!B:S,17,0)</f>
        <v>47688341</v>
      </c>
      <c r="Z50" s="54" t="str">
        <f>VLOOKUP(Data.[[#This Row],[DNI Supervisor]],Productividad!C:U,8,0)</f>
        <v>jaguilar@lozapay.com.pe</v>
      </c>
      <c r="AA50" s="8"/>
      <c r="AB50" s="8" t="s">
        <v>219</v>
      </c>
      <c r="AC50" s="53" t="str">
        <f>IFERROR(CONCATENATE(Data.[[#This Row],[DNI Ejecutivo]],Data.[[#This Row],[Periodo]]),"")</f>
        <v>4674148346174</v>
      </c>
      <c r="AD50" s="53" t="str">
        <f>IFERROR(VLOOKUP(Data.[[#This Row],[Código LT]],Reportería.[],10,0),"")</f>
        <v/>
      </c>
      <c r="AE50" s="53" t="str">
        <f>IFERROR(VLOOKUP(Data.[[#This Row],[Código LT]],Reportería.[],11,0),"")</f>
        <v/>
      </c>
      <c r="AF50" s="13">
        <f>IFERROR(VLOOKUP(Data.[[#This Row],[Código]],Reportería!A:BV,57,0),0)</f>
        <v>17332.599999999999</v>
      </c>
      <c r="AG50" s="13"/>
      <c r="AH50" s="13"/>
      <c r="AI50" s="11">
        <f>IF(TEXT(Data.[[#This Row],[Periodo]],"mmm-yy")="may-26",VLOOKUP(Data.[[#This Row],[Código]],Reportería!A:BV,57,0),0)</f>
        <v>0</v>
      </c>
      <c r="AJ50" s="11"/>
      <c r="AK50" s="11"/>
      <c r="AL50" s="11">
        <f>IF(Data.[[#This Row],[Vol M0]]="",0,0)</f>
        <v>0</v>
      </c>
      <c r="AM50" s="11">
        <f>IF(Data.[[#This Row],[Vol M0]]="",0,0)</f>
        <v>0</v>
      </c>
      <c r="AN50" s="11">
        <f>IF(Data.[[#This Row],[Vol M0]]="",0,0)</f>
        <v>0</v>
      </c>
      <c r="AO50" s="11">
        <f>IF(Data.[[#This Row],[Vol M0]]="",0,0)</f>
        <v>0</v>
      </c>
      <c r="AP50" s="11">
        <f>IF(Data.[[#This Row],[Vol M0]]="",0,0)</f>
        <v>0</v>
      </c>
      <c r="AQ50" s="11">
        <f>IF(Data.[[#This Row],[Vol M0]]="",0,0)</f>
        <v>0</v>
      </c>
      <c r="AR50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0.5</v>
      </c>
    </row>
    <row r="51" spans="1:44" ht="14.25" customHeight="1">
      <c r="A51" s="53" t="str">
        <f>CONCATENATE(Data.[[#This Row],[Código]],Data.[[#This Row],[Ruc]])</f>
        <v>105900120488026641</v>
      </c>
      <c r="B51" s="9">
        <v>46174</v>
      </c>
      <c r="C51" s="53" t="str">
        <f>IFERROR(VLOOKUP(Data.[[#This Row],[Código LT]],Reportería.[],71,0),"")</f>
        <v/>
      </c>
      <c r="D51" s="10">
        <f>IFERROR(VLOOKUP(Data.[[#This Row],[Código]],BV!A:C,2,0),"")</f>
        <v>46175</v>
      </c>
      <c r="E51" s="10">
        <f>IFERROR(VLOOKUP(Data.[[#This Row],[Código]],BV!A:C,3,0),"")</f>
        <v>46190</v>
      </c>
      <c r="F51" s="53">
        <v>1059001</v>
      </c>
      <c r="G51" s="8"/>
      <c r="H51" s="8">
        <v>20488026641</v>
      </c>
      <c r="I51" s="8" t="s">
        <v>729</v>
      </c>
      <c r="J51" s="8" t="s">
        <v>730</v>
      </c>
      <c r="K51" s="53" t="str">
        <f>IF(Data.[[#This Row],[Tipo de Venta]]&lt;&gt;"POS","Atendido",IF(Data.[[#This Row],[Fecha de Instalación]]&lt;&gt;"","Atendido","Ingresado"))</f>
        <v>Atendido</v>
      </c>
      <c r="L51" s="53" t="str">
        <f>Data.[[#This Row],[Estado]]</f>
        <v>Atendido</v>
      </c>
      <c r="M51" s="8" t="s">
        <v>33</v>
      </c>
      <c r="N51" s="53" t="str">
        <f>IFERROR(VLOOKUP(Data.[[#This Row],[Código LT]],Reportería.[],20,0),"")</f>
        <v/>
      </c>
      <c r="O51" s="53" t="str">
        <f>IFERROR(VLOOKUP(Data.[[#This Row],[Código LT]],Reportería.[],5,0),"")</f>
        <v/>
      </c>
      <c r="P51" s="11">
        <f>Data.[[#This Row],[GPV Mensual LT]]/COUNTIFS(H:H,Data.[[#This Row],[Ruc]],B:B,Data.[[#This Row],[Periodo]])</f>
        <v>120000</v>
      </c>
      <c r="Q51" s="11">
        <v>120000</v>
      </c>
      <c r="R51" s="8" t="s">
        <v>265</v>
      </c>
      <c r="S51" s="53" t="str">
        <f>VLOOKUP(Data.[[#This Row],[Ejecutivo]],Productividad!D:N,11,0)</f>
        <v>72641569</v>
      </c>
      <c r="T51" s="54" t="str">
        <f>VLOOKUP(Data.[[#This Row],[DNI Ejecutivo]],Productividad!C:U,8,0)</f>
        <v>katherine.zuloeta@lozapay.com.pe</v>
      </c>
      <c r="U51" s="53" t="str">
        <f>VLOOKUP(Data.[[#This Row],[DNI Ejecutivo]],Productividad!C:U,4,0)</f>
        <v>Hunter</v>
      </c>
      <c r="V51" s="53" t="str">
        <f>IFERROR(VLOOKUP(Data.[[#This Row],[DNI Ejecutivo]],Ejecutivos.[],11,0),"")</f>
        <v>Norte Lapoint</v>
      </c>
      <c r="W51" s="8" t="s">
        <v>98</v>
      </c>
      <c r="X51" s="53" t="str" cm="1">
        <f t="array" ref="X51">IFERROR(_xlfn.IFS(Data.[[#This Row],[Supervisor]]="Jonathan Lapoint","Norte",Data.[[#This Row],[Supervisor]]="Jorge Fuentes","Norte"),"Lima")</f>
        <v>Norte</v>
      </c>
      <c r="Y51" s="53" t="str">
        <f>VLOOKUP(Data.[[#This Row],[Supervisor]],Ejecutivos!B:S,17,0)</f>
        <v>70430554</v>
      </c>
      <c r="Z51" s="54" t="str">
        <f>VLOOKUP(Data.[[#This Row],[DNI Supervisor]],Productividad!C:U,8,0)</f>
        <v>jlapointp@lozapay.com.pe</v>
      </c>
      <c r="AA51" s="8"/>
      <c r="AB51" s="8" t="s">
        <v>266</v>
      </c>
      <c r="AC51" s="53" t="str">
        <f>IFERROR(CONCATENATE(Data.[[#This Row],[DNI Ejecutivo]],Data.[[#This Row],[Periodo]]),"")</f>
        <v>7264156946174</v>
      </c>
      <c r="AD51" s="53" t="str">
        <f>IFERROR(VLOOKUP(Data.[[#This Row],[Código LT]],Reportería.[],10,0),"")</f>
        <v/>
      </c>
      <c r="AE51" s="53" t="str">
        <f>IFERROR(VLOOKUP(Data.[[#This Row],[Código LT]],Reportería.[],11,0),"")</f>
        <v/>
      </c>
      <c r="AF51" s="13">
        <f>IFERROR(VLOOKUP(Data.[[#This Row],[Código]],Reportería!A:BV,57,0),0)</f>
        <v>0</v>
      </c>
      <c r="AG51" s="13"/>
      <c r="AH51" s="13"/>
      <c r="AI51" s="11">
        <f>IF(TEXT(Data.[[#This Row],[Periodo]],"mmm-yy")="may-26",VLOOKUP(Data.[[#This Row],[Código]],Reportería!A:BV,57,0),0)</f>
        <v>0</v>
      </c>
      <c r="AJ51" s="11"/>
      <c r="AK51" s="11"/>
      <c r="AL51" s="11">
        <f>IF(Data.[[#This Row],[Vol M0]]="",0,0)</f>
        <v>0</v>
      </c>
      <c r="AM51" s="11">
        <f>IF(Data.[[#This Row],[Vol M0]]="",0,0)</f>
        <v>0</v>
      </c>
      <c r="AN51" s="11">
        <f>IF(Data.[[#This Row],[Vol M0]]="",0,0)</f>
        <v>0</v>
      </c>
      <c r="AO51" s="11">
        <f>IF(Data.[[#This Row],[Vol M0]]="",0,0)</f>
        <v>0</v>
      </c>
      <c r="AP51" s="11">
        <f>IF(Data.[[#This Row],[Vol M0]]="",0,0)</f>
        <v>0</v>
      </c>
      <c r="AQ51" s="11">
        <f>IF(Data.[[#This Row],[Vol M0]]="",0,0)</f>
        <v>0</v>
      </c>
      <c r="AR51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52" spans="1:44" ht="14.25" customHeight="1">
      <c r="A52" s="53" t="str">
        <f>CONCATENATE(Data.[[#This Row],[Código]],Data.[[#This Row],[Ruc]])</f>
        <v>595489520614514338</v>
      </c>
      <c r="B52" s="9">
        <v>46174</v>
      </c>
      <c r="C52" s="53" t="str">
        <f>IFERROR(VLOOKUP(Data.[[#This Row],[Código LT]],Reportería.[],71,0),"")</f>
        <v/>
      </c>
      <c r="D52" s="10">
        <f>IFERROR(VLOOKUP(Data.[[#This Row],[Código]],BV!A:C,2,0),"")</f>
        <v>46175</v>
      </c>
      <c r="E52" s="10">
        <f>IFERROR(VLOOKUP(Data.[[#This Row],[Código]],BV!A:C,3,0),"")</f>
        <v>46176</v>
      </c>
      <c r="F52" s="53">
        <v>5954895</v>
      </c>
      <c r="G52" s="8" t="s">
        <v>731</v>
      </c>
      <c r="H52" s="8">
        <v>20614514338</v>
      </c>
      <c r="I52" s="8" t="s">
        <v>72</v>
      </c>
      <c r="J52" s="8" t="s">
        <v>73</v>
      </c>
      <c r="K52" s="53" t="str">
        <f>IF(Data.[[#This Row],[Tipo de Venta]]&lt;&gt;"POS","Atendido",IF(Data.[[#This Row],[Fecha de Instalación]]&lt;&gt;"","Atendido","Ingresado"))</f>
        <v>Atendido</v>
      </c>
      <c r="L52" s="53" t="str">
        <f>Data.[[#This Row],[Estado]]</f>
        <v>Atendido</v>
      </c>
      <c r="M52" s="8" t="s">
        <v>33</v>
      </c>
      <c r="N52" s="53" t="str">
        <f>IFERROR(VLOOKUP(Data.[[#This Row],[Código LT]],Reportería.[],20,0),"")</f>
        <v/>
      </c>
      <c r="O52" s="53" t="str">
        <f>IFERROR(VLOOKUP(Data.[[#This Row],[Código LT]],Reportería.[],5,0),"")</f>
        <v/>
      </c>
      <c r="P52" s="11">
        <f>Data.[[#This Row],[GPV Mensual LT]]/COUNTIFS(H:H,Data.[[#This Row],[Ruc]],B:B,Data.[[#This Row],[Periodo]])</f>
        <v>20000</v>
      </c>
      <c r="Q52" s="11">
        <v>80000</v>
      </c>
      <c r="R52" s="8" t="s">
        <v>74</v>
      </c>
      <c r="S52" s="53" t="str">
        <f>VLOOKUP(Data.[[#This Row],[Ejecutivo]],Productividad!D:N,11,0)</f>
        <v>45311691</v>
      </c>
      <c r="T52" s="54" t="str">
        <f>VLOOKUP(Data.[[#This Row],[DNI Ejecutivo]],Productividad!C:U,8,0)</f>
        <v>edinson.chuyes@lozapay.com.pe</v>
      </c>
      <c r="U52" s="53" t="str">
        <f>VLOOKUP(Data.[[#This Row],[DNI Ejecutivo]],Productividad!C:U,4,0)</f>
        <v>Elite</v>
      </c>
      <c r="V52" s="53" t="str">
        <f>IFERROR(VLOOKUP(Data.[[#This Row],[DNI Ejecutivo]],Ejecutivos.[],11,0),"")</f>
        <v>Lima Jean</v>
      </c>
      <c r="W52" s="8" t="s">
        <v>64</v>
      </c>
      <c r="X52" s="53" t="str" cm="1">
        <f t="array" ref="X52">IFERROR(_xlfn.IFS(Data.[[#This Row],[Supervisor]]="Jonathan Lapoint","Norte",Data.[[#This Row],[Supervisor]]="Jorge Fuentes","Norte"),"Lima")</f>
        <v>Lima</v>
      </c>
      <c r="Y52" s="53" t="str">
        <f>VLOOKUP(Data.[[#This Row],[Supervisor]],Ejecutivos!B:S,17,0)</f>
        <v>47688341</v>
      </c>
      <c r="Z52" s="54" t="str">
        <f>VLOOKUP(Data.[[#This Row],[DNI Supervisor]],Productividad!C:U,8,0)</f>
        <v>jaguilar@lozapay.com.pe</v>
      </c>
      <c r="AA52" s="8"/>
      <c r="AB52" s="8" t="s">
        <v>53</v>
      </c>
      <c r="AC52" s="53" t="str">
        <f>IFERROR(CONCATENATE(Data.[[#This Row],[DNI Ejecutivo]],Data.[[#This Row],[Periodo]]),"")</f>
        <v>4531169146174</v>
      </c>
      <c r="AD52" s="53" t="str">
        <f>IFERROR(VLOOKUP(Data.[[#This Row],[Código LT]],Reportería.[],10,0),"")</f>
        <v/>
      </c>
      <c r="AE52" s="53" t="str">
        <f>IFERROR(VLOOKUP(Data.[[#This Row],[Código LT]],Reportería.[],11,0),"")</f>
        <v/>
      </c>
      <c r="AF52" s="13">
        <f>IFERROR(VLOOKUP(Data.[[#This Row],[Código]],Reportería!A:BV,57,0),0)</f>
        <v>9136.353881562578</v>
      </c>
      <c r="AG52" s="13"/>
      <c r="AH52" s="13"/>
      <c r="AI52" s="11">
        <f>IF(TEXT(Data.[[#This Row],[Periodo]],"mmm-yy")="may-26",VLOOKUP(Data.[[#This Row],[Código]],Reportería!A:BV,57,0),0)</f>
        <v>0</v>
      </c>
      <c r="AJ52" s="11"/>
      <c r="AK52" s="11"/>
      <c r="AL52" s="11">
        <f>IF(Data.[[#This Row],[Vol M0]]="",0,0)</f>
        <v>0</v>
      </c>
      <c r="AM52" s="11">
        <f>IF(Data.[[#This Row],[Vol M0]]="",0,0)</f>
        <v>0</v>
      </c>
      <c r="AN52" s="11">
        <f>IF(Data.[[#This Row],[Vol M0]]="",0,0)</f>
        <v>0</v>
      </c>
      <c r="AO52" s="11">
        <f>IF(Data.[[#This Row],[Vol M0]]="",0,0)</f>
        <v>0</v>
      </c>
      <c r="AP52" s="11">
        <f>IF(Data.[[#This Row],[Vol M0]]="",0,0)</f>
        <v>0</v>
      </c>
      <c r="AQ52" s="11">
        <f>IF(Data.[[#This Row],[Vol M0]]="",0,0)</f>
        <v>0</v>
      </c>
      <c r="AR52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0.25</v>
      </c>
    </row>
    <row r="53" spans="1:44" ht="14.25" customHeight="1">
      <c r="A53" s="53" t="str">
        <f>CONCATENATE(Data.[[#This Row],[Código]],Data.[[#This Row],[Ruc]])</f>
        <v>595490220614514338</v>
      </c>
      <c r="B53" s="9">
        <v>46174</v>
      </c>
      <c r="C53" s="53" t="str">
        <f>IFERROR(VLOOKUP(Data.[[#This Row],[Código LT]],Reportería.[],71,0),"")</f>
        <v/>
      </c>
      <c r="D53" s="10">
        <f>IFERROR(VLOOKUP(Data.[[#This Row],[Código]],BV!A:C,2,0),"")</f>
        <v>46175</v>
      </c>
      <c r="E53" s="10">
        <f>IFERROR(VLOOKUP(Data.[[#This Row],[Código]],BV!A:C,3,0),"")</f>
        <v>46176</v>
      </c>
      <c r="F53" s="53">
        <v>5954902</v>
      </c>
      <c r="G53" s="8" t="s">
        <v>732</v>
      </c>
      <c r="H53" s="8">
        <v>20614514338</v>
      </c>
      <c r="I53" s="8" t="s">
        <v>72</v>
      </c>
      <c r="J53" s="8" t="s">
        <v>73</v>
      </c>
      <c r="K53" s="53" t="str">
        <f>IF(Data.[[#This Row],[Tipo de Venta]]&lt;&gt;"POS","Atendido",IF(Data.[[#This Row],[Fecha de Instalación]]&lt;&gt;"","Atendido","Ingresado"))</f>
        <v>Atendido</v>
      </c>
      <c r="L53" s="53" t="str">
        <f>Data.[[#This Row],[Estado]]</f>
        <v>Atendido</v>
      </c>
      <c r="M53" s="8" t="s">
        <v>33</v>
      </c>
      <c r="N53" s="53" t="str">
        <f>IFERROR(VLOOKUP(Data.[[#This Row],[Código LT]],Reportería.[],20,0),"")</f>
        <v/>
      </c>
      <c r="O53" s="53" t="str">
        <f>IFERROR(VLOOKUP(Data.[[#This Row],[Código LT]],Reportería.[],5,0),"")</f>
        <v/>
      </c>
      <c r="P53" s="11">
        <f>Data.[[#This Row],[GPV Mensual LT]]/COUNTIFS(H:H,Data.[[#This Row],[Ruc]],B:B,Data.[[#This Row],[Periodo]])</f>
        <v>20000</v>
      </c>
      <c r="Q53" s="11">
        <v>80000</v>
      </c>
      <c r="R53" s="8" t="s">
        <v>74</v>
      </c>
      <c r="S53" s="53" t="str">
        <f>VLOOKUP(Data.[[#This Row],[Ejecutivo]],Productividad!D:N,11,0)</f>
        <v>45311691</v>
      </c>
      <c r="T53" s="54" t="str">
        <f>VLOOKUP(Data.[[#This Row],[DNI Ejecutivo]],Productividad!C:U,8,0)</f>
        <v>edinson.chuyes@lozapay.com.pe</v>
      </c>
      <c r="U53" s="53" t="str">
        <f>VLOOKUP(Data.[[#This Row],[DNI Ejecutivo]],Productividad!C:U,4,0)</f>
        <v>Elite</v>
      </c>
      <c r="V53" s="53" t="str">
        <f>IFERROR(VLOOKUP(Data.[[#This Row],[DNI Ejecutivo]],Ejecutivos.[],11,0),"")</f>
        <v>Lima Jean</v>
      </c>
      <c r="W53" s="8" t="s">
        <v>64</v>
      </c>
      <c r="X53" s="53" t="str" cm="1">
        <f t="array" ref="X53">IFERROR(_xlfn.IFS(Data.[[#This Row],[Supervisor]]="Jonathan Lapoint","Norte",Data.[[#This Row],[Supervisor]]="Jorge Fuentes","Norte"),"Lima")</f>
        <v>Lima</v>
      </c>
      <c r="Y53" s="53" t="str">
        <f>VLOOKUP(Data.[[#This Row],[Supervisor]],Ejecutivos!B:S,17,0)</f>
        <v>47688341</v>
      </c>
      <c r="Z53" s="54" t="str">
        <f>VLOOKUP(Data.[[#This Row],[DNI Supervisor]],Productividad!C:U,8,0)</f>
        <v>jaguilar@lozapay.com.pe</v>
      </c>
      <c r="AA53" s="8"/>
      <c r="AB53" s="8" t="s">
        <v>53</v>
      </c>
      <c r="AC53" s="53" t="str">
        <f>IFERROR(CONCATENATE(Data.[[#This Row],[DNI Ejecutivo]],Data.[[#This Row],[Periodo]]),"")</f>
        <v>4531169146174</v>
      </c>
      <c r="AD53" s="53" t="str">
        <f>IFERROR(VLOOKUP(Data.[[#This Row],[Código LT]],Reportería.[],10,0),"")</f>
        <v/>
      </c>
      <c r="AE53" s="53" t="str">
        <f>IFERROR(VLOOKUP(Data.[[#This Row],[Código LT]],Reportería.[],11,0),"")</f>
        <v/>
      </c>
      <c r="AF53" s="13">
        <f>IFERROR(VLOOKUP(Data.[[#This Row],[Código]],Reportería!A:BV,57,0),0)</f>
        <v>9302.6909679024629</v>
      </c>
      <c r="AG53" s="13"/>
      <c r="AH53" s="13"/>
      <c r="AI53" s="11">
        <f>IF(TEXT(Data.[[#This Row],[Periodo]],"mmm-yy")="may-26",VLOOKUP(Data.[[#This Row],[Código]],Reportería!A:BV,57,0),0)</f>
        <v>0</v>
      </c>
      <c r="AJ53" s="11"/>
      <c r="AK53" s="11"/>
      <c r="AL53" s="11">
        <f>IF(Data.[[#This Row],[Vol M0]]="",0,0)</f>
        <v>0</v>
      </c>
      <c r="AM53" s="11">
        <f>IF(Data.[[#This Row],[Vol M0]]="",0,0)</f>
        <v>0</v>
      </c>
      <c r="AN53" s="11">
        <f>IF(Data.[[#This Row],[Vol M0]]="",0,0)</f>
        <v>0</v>
      </c>
      <c r="AO53" s="11">
        <f>IF(Data.[[#This Row],[Vol M0]]="",0,0)</f>
        <v>0</v>
      </c>
      <c r="AP53" s="11">
        <f>IF(Data.[[#This Row],[Vol M0]]="",0,0)</f>
        <v>0</v>
      </c>
      <c r="AQ53" s="11">
        <f>IF(Data.[[#This Row],[Vol M0]]="",0,0)</f>
        <v>0</v>
      </c>
      <c r="AR53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0.25</v>
      </c>
    </row>
    <row r="54" spans="1:44" ht="14.25" customHeight="1">
      <c r="A54" s="53" t="str">
        <f>CONCATENATE(Data.[[#This Row],[Código]],Data.[[#This Row],[Ruc]])</f>
        <v>595490520614514338</v>
      </c>
      <c r="B54" s="9">
        <v>46174</v>
      </c>
      <c r="C54" s="53" t="str">
        <f>IFERROR(VLOOKUP(Data.[[#This Row],[Código LT]],Reportería.[],71,0),"")</f>
        <v/>
      </c>
      <c r="D54" s="10">
        <f>IFERROR(VLOOKUP(Data.[[#This Row],[Código]],BV!A:C,2,0),"")</f>
        <v>46175</v>
      </c>
      <c r="E54" s="10">
        <f>IFERROR(VLOOKUP(Data.[[#This Row],[Código]],BV!A:C,3,0),"")</f>
        <v>46176</v>
      </c>
      <c r="F54" s="53">
        <v>5954905</v>
      </c>
      <c r="G54" s="8" t="s">
        <v>733</v>
      </c>
      <c r="H54" s="8">
        <v>20614514338</v>
      </c>
      <c r="I54" s="8" t="s">
        <v>72</v>
      </c>
      <c r="J54" s="8" t="s">
        <v>73</v>
      </c>
      <c r="K54" s="53" t="str">
        <f>IF(Data.[[#This Row],[Tipo de Venta]]&lt;&gt;"POS","Atendido",IF(Data.[[#This Row],[Fecha de Instalación]]&lt;&gt;"","Atendido","Ingresado"))</f>
        <v>Atendido</v>
      </c>
      <c r="L54" s="53" t="str">
        <f>Data.[[#This Row],[Estado]]</f>
        <v>Atendido</v>
      </c>
      <c r="M54" s="8" t="s">
        <v>33</v>
      </c>
      <c r="N54" s="53" t="str">
        <f>IFERROR(VLOOKUP(Data.[[#This Row],[Código LT]],Reportería.[],20,0),"")</f>
        <v/>
      </c>
      <c r="O54" s="53" t="str">
        <f>IFERROR(VLOOKUP(Data.[[#This Row],[Código LT]],Reportería.[],5,0),"")</f>
        <v/>
      </c>
      <c r="P54" s="11">
        <f>Data.[[#This Row],[GPV Mensual LT]]/COUNTIFS(H:H,Data.[[#This Row],[Ruc]],B:B,Data.[[#This Row],[Periodo]])</f>
        <v>20000</v>
      </c>
      <c r="Q54" s="11">
        <v>80000</v>
      </c>
      <c r="R54" s="8" t="s">
        <v>74</v>
      </c>
      <c r="S54" s="53" t="str">
        <f>VLOOKUP(Data.[[#This Row],[Ejecutivo]],Productividad!D:N,11,0)</f>
        <v>45311691</v>
      </c>
      <c r="T54" s="54" t="str">
        <f>VLOOKUP(Data.[[#This Row],[DNI Ejecutivo]],Productividad!C:U,8,0)</f>
        <v>edinson.chuyes@lozapay.com.pe</v>
      </c>
      <c r="U54" s="53" t="str">
        <f>VLOOKUP(Data.[[#This Row],[DNI Ejecutivo]],Productividad!C:U,4,0)</f>
        <v>Elite</v>
      </c>
      <c r="V54" s="53" t="str">
        <f>IFERROR(VLOOKUP(Data.[[#This Row],[DNI Ejecutivo]],Ejecutivos.[],11,0),"")</f>
        <v>Lima Jean</v>
      </c>
      <c r="W54" s="8" t="s">
        <v>64</v>
      </c>
      <c r="X54" s="53" t="str" cm="1">
        <f t="array" ref="X54">IFERROR(_xlfn.IFS(Data.[[#This Row],[Supervisor]]="Jonathan Lapoint","Norte",Data.[[#This Row],[Supervisor]]="Jorge Fuentes","Norte"),"Lima")</f>
        <v>Lima</v>
      </c>
      <c r="Y54" s="53" t="str">
        <f>VLOOKUP(Data.[[#This Row],[Supervisor]],Ejecutivos!B:S,17,0)</f>
        <v>47688341</v>
      </c>
      <c r="Z54" s="54" t="str">
        <f>VLOOKUP(Data.[[#This Row],[DNI Supervisor]],Productividad!C:U,8,0)</f>
        <v>jaguilar@lozapay.com.pe</v>
      </c>
      <c r="AA54" s="8"/>
      <c r="AB54" s="8" t="s">
        <v>53</v>
      </c>
      <c r="AC54" s="53" t="str">
        <f>IFERROR(CONCATENATE(Data.[[#This Row],[DNI Ejecutivo]],Data.[[#This Row],[Periodo]]),"")</f>
        <v>4531169146174</v>
      </c>
      <c r="AD54" s="53" t="str">
        <f>IFERROR(VLOOKUP(Data.[[#This Row],[Código LT]],Reportería.[],10,0),"")</f>
        <v/>
      </c>
      <c r="AE54" s="53" t="str">
        <f>IFERROR(VLOOKUP(Data.[[#This Row],[Código LT]],Reportería.[],11,0),"")</f>
        <v/>
      </c>
      <c r="AF54" s="13">
        <f>IFERROR(VLOOKUP(Data.[[#This Row],[Código]],Reportería!A:BV,57,0),0)</f>
        <v>9125.9958945011203</v>
      </c>
      <c r="AG54" s="13"/>
      <c r="AH54" s="13"/>
      <c r="AI54" s="11">
        <f>IF(TEXT(Data.[[#This Row],[Periodo]],"mmm-yy")="may-26",VLOOKUP(Data.[[#This Row],[Código]],Reportería!A:BV,57,0),0)</f>
        <v>0</v>
      </c>
      <c r="AJ54" s="11"/>
      <c r="AK54" s="11"/>
      <c r="AL54" s="11">
        <f>IF(Data.[[#This Row],[Vol M0]]="",0,0)</f>
        <v>0</v>
      </c>
      <c r="AM54" s="11">
        <f>IF(Data.[[#This Row],[Vol M0]]="",0,0)</f>
        <v>0</v>
      </c>
      <c r="AN54" s="11">
        <f>IF(Data.[[#This Row],[Vol M0]]="",0,0)</f>
        <v>0</v>
      </c>
      <c r="AO54" s="11">
        <f>IF(Data.[[#This Row],[Vol M0]]="",0,0)</f>
        <v>0</v>
      </c>
      <c r="AP54" s="11">
        <f>IF(Data.[[#This Row],[Vol M0]]="",0,0)</f>
        <v>0</v>
      </c>
      <c r="AQ54" s="11">
        <f>IF(Data.[[#This Row],[Vol M0]]="",0,0)</f>
        <v>0</v>
      </c>
      <c r="AR54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0.25</v>
      </c>
    </row>
    <row r="55" spans="1:44" ht="14.25" customHeight="1">
      <c r="A55" s="53" t="str">
        <f>CONCATENATE(Data.[[#This Row],[Código]],Data.[[#This Row],[Ruc]])</f>
        <v>595487820614514338</v>
      </c>
      <c r="B55" s="9">
        <v>46174</v>
      </c>
      <c r="C55" s="53" t="str">
        <f>IFERROR(VLOOKUP(Data.[[#This Row],[Código LT]],Reportería.[],71,0),"")</f>
        <v/>
      </c>
      <c r="D55" s="10">
        <f>IFERROR(VLOOKUP(Data.[[#This Row],[Código]],BV!A:C,2,0),"")</f>
        <v>46175</v>
      </c>
      <c r="E55" s="10">
        <f>IFERROR(VLOOKUP(Data.[[#This Row],[Código]],BV!A:C,3,0),"")</f>
        <v>46176</v>
      </c>
      <c r="F55" s="53">
        <v>5954878</v>
      </c>
      <c r="G55" s="8" t="s">
        <v>734</v>
      </c>
      <c r="H55" s="8">
        <v>20614514338</v>
      </c>
      <c r="I55" s="8" t="s">
        <v>72</v>
      </c>
      <c r="J55" s="8" t="s">
        <v>73</v>
      </c>
      <c r="K55" s="53" t="str">
        <f>IF(Data.[[#This Row],[Tipo de Venta]]&lt;&gt;"POS","Atendido",IF(Data.[[#This Row],[Fecha de Instalación]]&lt;&gt;"","Atendido","Ingresado"))</f>
        <v>Atendido</v>
      </c>
      <c r="L55" s="53" t="str">
        <f>Data.[[#This Row],[Estado]]</f>
        <v>Atendido</v>
      </c>
      <c r="M55" s="8" t="s">
        <v>33</v>
      </c>
      <c r="N55" s="53" t="str">
        <f>IFERROR(VLOOKUP(Data.[[#This Row],[Código LT]],Reportería.[],20,0),"")</f>
        <v/>
      </c>
      <c r="O55" s="53" t="str">
        <f>IFERROR(VLOOKUP(Data.[[#This Row],[Código LT]],Reportería.[],5,0),"")</f>
        <v/>
      </c>
      <c r="P55" s="11">
        <f>Data.[[#This Row],[GPV Mensual LT]]/COUNTIFS(H:H,Data.[[#This Row],[Ruc]],B:B,Data.[[#This Row],[Periodo]])</f>
        <v>20000</v>
      </c>
      <c r="Q55" s="11">
        <v>80000</v>
      </c>
      <c r="R55" s="8" t="s">
        <v>74</v>
      </c>
      <c r="S55" s="53" t="str">
        <f>VLOOKUP(Data.[[#This Row],[Ejecutivo]],Productividad!D:N,11,0)</f>
        <v>45311691</v>
      </c>
      <c r="T55" s="54" t="str">
        <f>VLOOKUP(Data.[[#This Row],[DNI Ejecutivo]],Productividad!C:U,8,0)</f>
        <v>edinson.chuyes@lozapay.com.pe</v>
      </c>
      <c r="U55" s="53" t="str">
        <f>VLOOKUP(Data.[[#This Row],[DNI Ejecutivo]],Productividad!C:U,4,0)</f>
        <v>Elite</v>
      </c>
      <c r="V55" s="53" t="str">
        <f>IFERROR(VLOOKUP(Data.[[#This Row],[DNI Ejecutivo]],Ejecutivos.[],11,0),"")</f>
        <v>Lima Jean</v>
      </c>
      <c r="W55" s="8" t="s">
        <v>64</v>
      </c>
      <c r="X55" s="53" t="str" cm="1">
        <f t="array" ref="X55">IFERROR(_xlfn.IFS(Data.[[#This Row],[Supervisor]]="Jonathan Lapoint","Norte",Data.[[#This Row],[Supervisor]]="Jorge Fuentes","Norte"),"Lima")</f>
        <v>Lima</v>
      </c>
      <c r="Y55" s="53" t="str">
        <f>VLOOKUP(Data.[[#This Row],[Supervisor]],Ejecutivos!B:S,17,0)</f>
        <v>47688341</v>
      </c>
      <c r="Z55" s="54" t="str">
        <f>VLOOKUP(Data.[[#This Row],[DNI Supervisor]],Productividad!C:U,8,0)</f>
        <v>jaguilar@lozapay.com.pe</v>
      </c>
      <c r="AA55" s="8"/>
      <c r="AB55" s="8" t="s">
        <v>53</v>
      </c>
      <c r="AC55" s="53" t="str">
        <f>IFERROR(CONCATENATE(Data.[[#This Row],[DNI Ejecutivo]],Data.[[#This Row],[Periodo]]),"")</f>
        <v>4531169146174</v>
      </c>
      <c r="AD55" s="53" t="str">
        <f>IFERROR(VLOOKUP(Data.[[#This Row],[Código LT]],Reportería.[],10,0),"")</f>
        <v/>
      </c>
      <c r="AE55" s="53" t="str">
        <f>IFERROR(VLOOKUP(Data.[[#This Row],[Código LT]],Reportería.[],11,0),"")</f>
        <v/>
      </c>
      <c r="AF55" s="13">
        <f>IFERROR(VLOOKUP(Data.[[#This Row],[Código]],Reportería!A:BV,57,0),0)</f>
        <v>10798.709256033841</v>
      </c>
      <c r="AG55" s="13"/>
      <c r="AH55" s="13"/>
      <c r="AI55" s="11">
        <f>IF(TEXT(Data.[[#This Row],[Periodo]],"mmm-yy")="may-26",VLOOKUP(Data.[[#This Row],[Código]],Reportería!A:BV,57,0),0)</f>
        <v>0</v>
      </c>
      <c r="AJ55" s="11"/>
      <c r="AK55" s="11"/>
      <c r="AL55" s="11">
        <f>IF(Data.[[#This Row],[Vol M0]]="",0,0)</f>
        <v>0</v>
      </c>
      <c r="AM55" s="11">
        <f>IF(Data.[[#This Row],[Vol M0]]="",0,0)</f>
        <v>0</v>
      </c>
      <c r="AN55" s="11">
        <f>IF(Data.[[#This Row],[Vol M0]]="",0,0)</f>
        <v>0</v>
      </c>
      <c r="AO55" s="11">
        <f>IF(Data.[[#This Row],[Vol M0]]="",0,0)</f>
        <v>0</v>
      </c>
      <c r="AP55" s="11">
        <f>IF(Data.[[#This Row],[Vol M0]]="",0,0)</f>
        <v>0</v>
      </c>
      <c r="AQ55" s="11">
        <f>IF(Data.[[#This Row],[Vol M0]]="",0,0)</f>
        <v>0</v>
      </c>
      <c r="AR55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0.25</v>
      </c>
    </row>
    <row r="56" spans="1:44" ht="14.25" customHeight="1">
      <c r="A56" s="53" t="str">
        <f>CONCATENATE(Data.[[#This Row],[Código]],Data.[[#This Row],[Ruc]])</f>
        <v>595495720449499540</v>
      </c>
      <c r="B56" s="9">
        <v>46174</v>
      </c>
      <c r="C56" s="53" t="str">
        <f>IFERROR(VLOOKUP(Data.[[#This Row],[Código LT]],Reportería.[],71,0),"")</f>
        <v/>
      </c>
      <c r="D56" s="10">
        <f>IFERROR(VLOOKUP(Data.[[#This Row],[Código]],BV!A:C,2,0),"")</f>
        <v>46175</v>
      </c>
      <c r="E56" s="10">
        <f>IFERROR(VLOOKUP(Data.[[#This Row],[Código]],BV!A:C,3,0),"")</f>
        <v>46179</v>
      </c>
      <c r="F56" s="53">
        <v>5954957</v>
      </c>
      <c r="G56" s="8" t="s">
        <v>737</v>
      </c>
      <c r="H56" s="8">
        <v>20449499540</v>
      </c>
      <c r="I56" s="8" t="s">
        <v>738</v>
      </c>
      <c r="J56" s="8" t="s">
        <v>739</v>
      </c>
      <c r="K56" s="53" t="str">
        <f>IF(Data.[[#This Row],[Tipo de Venta]]&lt;&gt;"POS","Atendido",IF(Data.[[#This Row],[Fecha de Instalación]]&lt;&gt;"","Atendido","Ingresado"))</f>
        <v>Atendido</v>
      </c>
      <c r="L56" s="53" t="str">
        <f>Data.[[#This Row],[Estado]]</f>
        <v>Atendido</v>
      </c>
      <c r="M56" s="8" t="s">
        <v>33</v>
      </c>
      <c r="N56" s="53" t="str">
        <f>IFERROR(VLOOKUP(Data.[[#This Row],[Código LT]],Reportería.[],20,0),"")</f>
        <v/>
      </c>
      <c r="O56" s="53" t="str">
        <f>IFERROR(VLOOKUP(Data.[[#This Row],[Código LT]],Reportería.[],5,0),"")</f>
        <v/>
      </c>
      <c r="P56" s="11">
        <f>Data.[[#This Row],[GPV Mensual LT]]/COUNTIFS(H:H,Data.[[#This Row],[Ruc]],B:B,Data.[[#This Row],[Periodo]])</f>
        <v>80000</v>
      </c>
      <c r="Q56" s="11">
        <v>80000</v>
      </c>
      <c r="R56" s="8" t="s">
        <v>278</v>
      </c>
      <c r="S56" s="53" t="str">
        <f>VLOOKUP(Data.[[#This Row],[Ejecutivo]],Productividad!D:N,11,0)</f>
        <v>42858532</v>
      </c>
      <c r="T56" s="54" t="str">
        <f>VLOOKUP(Data.[[#This Row],[DNI Ejecutivo]],Productividad!C:U,8,0)</f>
        <v>marlon.martinez@lozapay.com.pe</v>
      </c>
      <c r="U56" s="53" t="str">
        <f>VLOOKUP(Data.[[#This Row],[DNI Ejecutivo]],Productividad!C:U,4,0)</f>
        <v>Hunter</v>
      </c>
      <c r="V56" s="53" t="str">
        <f>IFERROR(VLOOKUP(Data.[[#This Row],[DNI Ejecutivo]],Ejecutivos.[],11,0),"")</f>
        <v>Norte Lapoint</v>
      </c>
      <c r="W56" s="8" t="s">
        <v>98</v>
      </c>
      <c r="X56" s="53" t="str" cm="1">
        <f t="array" ref="X56">IFERROR(_xlfn.IFS(Data.[[#This Row],[Supervisor]]="Jonathan Lapoint","Norte",Data.[[#This Row],[Supervisor]]="Jorge Fuentes","Norte"),"Lima")</f>
        <v>Norte</v>
      </c>
      <c r="Y56" s="53" t="str">
        <f>VLOOKUP(Data.[[#This Row],[Supervisor]],Ejecutivos!B:S,17,0)</f>
        <v>70430554</v>
      </c>
      <c r="Z56" s="54" t="str">
        <f>VLOOKUP(Data.[[#This Row],[DNI Supervisor]],Productividad!C:U,8,0)</f>
        <v>jlapointp@lozapay.com.pe</v>
      </c>
      <c r="AA56" s="8"/>
      <c r="AB56" s="8" t="s">
        <v>266</v>
      </c>
      <c r="AC56" s="53" t="str">
        <f>IFERROR(CONCATENATE(Data.[[#This Row],[DNI Ejecutivo]],Data.[[#This Row],[Periodo]]),"")</f>
        <v>4285853246174</v>
      </c>
      <c r="AD56" s="53" t="str">
        <f>IFERROR(VLOOKUP(Data.[[#This Row],[Código LT]],Reportería.[],10,0),"")</f>
        <v/>
      </c>
      <c r="AE56" s="53" t="str">
        <f>IFERROR(VLOOKUP(Data.[[#This Row],[Código LT]],Reportería.[],11,0),"")</f>
        <v/>
      </c>
      <c r="AF56" s="13">
        <f>IFERROR(VLOOKUP(Data.[[#This Row],[Código]],Reportería!A:BV,57,0),0)</f>
        <v>0</v>
      </c>
      <c r="AG56" s="13"/>
      <c r="AH56" s="13"/>
      <c r="AI56" s="11">
        <f>IF(TEXT(Data.[[#This Row],[Periodo]],"mmm-yy")="may-26",VLOOKUP(Data.[[#This Row],[Código]],Reportería!A:BV,57,0),0)</f>
        <v>0</v>
      </c>
      <c r="AJ56" s="11"/>
      <c r="AK56" s="11"/>
      <c r="AL56" s="11">
        <f>IF(Data.[[#This Row],[Vol M0]]="",0,0)</f>
        <v>0</v>
      </c>
      <c r="AM56" s="11">
        <f>IF(Data.[[#This Row],[Vol M0]]="",0,0)</f>
        <v>0</v>
      </c>
      <c r="AN56" s="11">
        <f>IF(Data.[[#This Row],[Vol M0]]="",0,0)</f>
        <v>0</v>
      </c>
      <c r="AO56" s="11">
        <f>IF(Data.[[#This Row],[Vol M0]]="",0,0)</f>
        <v>0</v>
      </c>
      <c r="AP56" s="11">
        <f>IF(Data.[[#This Row],[Vol M0]]="",0,0)</f>
        <v>0</v>
      </c>
      <c r="AQ56" s="11">
        <f>IF(Data.[[#This Row],[Vol M0]]="",0,0)</f>
        <v>0</v>
      </c>
      <c r="AR56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57" spans="1:44" ht="14.25" customHeight="1">
      <c r="A57" s="53" t="str">
        <f>CONCATENATE(Data.[[#This Row],[Código]],Data.[[#This Row],[Ruc]])</f>
        <v>408142720612053384</v>
      </c>
      <c r="B57" s="9">
        <v>46174</v>
      </c>
      <c r="C57" s="53" t="str">
        <f>IFERROR(VLOOKUP(Data.[[#This Row],[Código LT]],Reportería.[],71,0),"")</f>
        <v/>
      </c>
      <c r="D57" s="10">
        <f>IFERROR(VLOOKUP(Data.[[#This Row],[Código]],BV!A:C,2,0),"")</f>
        <v>46176</v>
      </c>
      <c r="E57" s="10">
        <f>IFERROR(VLOOKUP(Data.[[#This Row],[Código]],BV!A:C,3,0),"")</f>
        <v>0</v>
      </c>
      <c r="F57" s="53">
        <v>4081427</v>
      </c>
      <c r="G57" s="8"/>
      <c r="H57" s="8">
        <v>20612053384</v>
      </c>
      <c r="I57" s="8" t="s">
        <v>740</v>
      </c>
      <c r="J57" s="8" t="s">
        <v>741</v>
      </c>
      <c r="K57" s="53" t="str">
        <f>IF(Data.[[#This Row],[Tipo de Venta]]&lt;&gt;"POS","Atendido",IF(Data.[[#This Row],[Fecha de Instalación]]&lt;&gt;"","Atendido","Ingresado"))</f>
        <v>Atendido</v>
      </c>
      <c r="L57" s="53" t="str">
        <f>Data.[[#This Row],[Estado]]</f>
        <v>Atendido</v>
      </c>
      <c r="M57" s="8" t="s">
        <v>561</v>
      </c>
      <c r="N57" s="53" t="str">
        <f>IFERROR(VLOOKUP(Data.[[#This Row],[Código LT]],Reportería.[],20,0),"")</f>
        <v/>
      </c>
      <c r="O57" s="53" t="str">
        <f>IFERROR(VLOOKUP(Data.[[#This Row],[Código LT]],Reportería.[],5,0),"")</f>
        <v/>
      </c>
      <c r="P57" s="11">
        <f>Data.[[#This Row],[GPV Mensual LT]]/COUNTIFS(H:H,Data.[[#This Row],[Ruc]],B:B,Data.[[#This Row],[Periodo]])</f>
        <v>20000</v>
      </c>
      <c r="Q57" s="11">
        <v>80000</v>
      </c>
      <c r="R57" s="8" t="s">
        <v>284</v>
      </c>
      <c r="S57" s="53" t="str">
        <f>VLOOKUP(Data.[[#This Row],[Ejecutivo]],Productividad!D:N,11,0)</f>
        <v>71870286</v>
      </c>
      <c r="T57" s="54" t="str">
        <f>VLOOKUP(Data.[[#This Row],[DNI Ejecutivo]],Productividad!C:U,8,0)</f>
        <v>william.cortez@lozapay.com.pe</v>
      </c>
      <c r="U57" s="53" t="str">
        <f>VLOOKUP(Data.[[#This Row],[DNI Ejecutivo]],Productividad!C:U,4,0)</f>
        <v>Senior</v>
      </c>
      <c r="V57" s="53" t="str">
        <f>IFERROR(VLOOKUP(Data.[[#This Row],[DNI Ejecutivo]],Ejecutivos.[],11,0),"")</f>
        <v>Norte Lapoint</v>
      </c>
      <c r="W57" s="8" t="s">
        <v>98</v>
      </c>
      <c r="X57" s="53" t="str" cm="1">
        <f t="array" ref="X57">IFERROR(_xlfn.IFS(Data.[[#This Row],[Supervisor]]="Jonathan Lapoint","Norte",Data.[[#This Row],[Supervisor]]="Jorge Fuentes","Norte"),"Lima")</f>
        <v>Norte</v>
      </c>
      <c r="Y57" s="53" t="str">
        <f>VLOOKUP(Data.[[#This Row],[Supervisor]],Ejecutivos!B:S,17,0)</f>
        <v>70430554</v>
      </c>
      <c r="Z57" s="54" t="str">
        <f>VLOOKUP(Data.[[#This Row],[DNI Supervisor]],Productividad!C:U,8,0)</f>
        <v>jlapointp@lozapay.com.pe</v>
      </c>
      <c r="AA57" s="8"/>
      <c r="AB57" s="8" t="s">
        <v>786</v>
      </c>
      <c r="AC57" s="53" t="str">
        <f>IFERROR(CONCATENATE(Data.[[#This Row],[DNI Ejecutivo]],Data.[[#This Row],[Periodo]]),"")</f>
        <v>7187028646174</v>
      </c>
      <c r="AD57" s="53" t="str">
        <f>IFERROR(VLOOKUP(Data.[[#This Row],[Código LT]],Reportería.[],10,0),"")</f>
        <v/>
      </c>
      <c r="AE57" s="53" t="str">
        <f>IFERROR(VLOOKUP(Data.[[#This Row],[Código LT]],Reportería.[],11,0),"")</f>
        <v/>
      </c>
      <c r="AF57" s="13">
        <f>IFERROR(VLOOKUP(Data.[[#This Row],[Código]],Reportería!A:BV,57,0),0)</f>
        <v>0</v>
      </c>
      <c r="AG57" s="13"/>
      <c r="AH57" s="13"/>
      <c r="AI57" s="11">
        <f>IF(TEXT(Data.[[#This Row],[Periodo]],"mmm-yy")="may-26",VLOOKUP(Data.[[#This Row],[Código]],Reportería!A:BV,57,0),0)</f>
        <v>0</v>
      </c>
      <c r="AJ57" s="11"/>
      <c r="AK57" s="11"/>
      <c r="AL57" s="11">
        <f>IF(Data.[[#This Row],[Vol M0]]="",0,0)</f>
        <v>0</v>
      </c>
      <c r="AM57" s="11">
        <f>IF(Data.[[#This Row],[Vol M0]]="",0,0)</f>
        <v>0</v>
      </c>
      <c r="AN57" s="11">
        <f>IF(Data.[[#This Row],[Vol M0]]="",0,0)</f>
        <v>0</v>
      </c>
      <c r="AO57" s="11">
        <f>IF(Data.[[#This Row],[Vol M0]]="",0,0)</f>
        <v>0</v>
      </c>
      <c r="AP57" s="11">
        <f>IF(Data.[[#This Row],[Vol M0]]="",0,0)</f>
        <v>0</v>
      </c>
      <c r="AQ57" s="11">
        <f>IF(Data.[[#This Row],[Vol M0]]="",0,0)</f>
        <v>0</v>
      </c>
      <c r="AR57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58" spans="1:44" ht="14.25" customHeight="1">
      <c r="A58" s="53" t="str">
        <f>CONCATENATE(Data.[[#This Row],[Código]],Data.[[#This Row],[Ruc]])</f>
        <v>408142820612053384</v>
      </c>
      <c r="B58" s="9">
        <v>46174</v>
      </c>
      <c r="C58" s="53" t="str">
        <f>IFERROR(VLOOKUP(Data.[[#This Row],[Código LT]],Reportería.[],71,0),"")</f>
        <v/>
      </c>
      <c r="D58" s="10">
        <f>IFERROR(VLOOKUP(Data.[[#This Row],[Código]],BV!A:C,2,0),"")</f>
        <v>46176</v>
      </c>
      <c r="E58" s="10">
        <f>IFERROR(VLOOKUP(Data.[[#This Row],[Código]],BV!A:C,3,0),"")</f>
        <v>0</v>
      </c>
      <c r="F58" s="53">
        <v>4081428</v>
      </c>
      <c r="G58" s="8"/>
      <c r="H58" s="8">
        <v>20612053384</v>
      </c>
      <c r="I58" s="8" t="s">
        <v>740</v>
      </c>
      <c r="J58" s="8" t="s">
        <v>741</v>
      </c>
      <c r="K58" s="53" t="str">
        <f>IF(Data.[[#This Row],[Tipo de Venta]]&lt;&gt;"POS","Atendido",IF(Data.[[#This Row],[Fecha de Instalación]]&lt;&gt;"","Atendido","Ingresado"))</f>
        <v>Atendido</v>
      </c>
      <c r="L58" s="53" t="str">
        <f>Data.[[#This Row],[Estado]]</f>
        <v>Atendido</v>
      </c>
      <c r="M58" s="8" t="s">
        <v>561</v>
      </c>
      <c r="N58" s="53" t="str">
        <f>IFERROR(VLOOKUP(Data.[[#This Row],[Código LT]],Reportería.[],20,0),"")</f>
        <v/>
      </c>
      <c r="O58" s="53" t="str">
        <f>IFERROR(VLOOKUP(Data.[[#This Row],[Código LT]],Reportería.[],5,0),"")</f>
        <v/>
      </c>
      <c r="P58" s="11">
        <f>Data.[[#This Row],[GPV Mensual LT]]/COUNTIFS(H:H,Data.[[#This Row],[Ruc]],B:B,Data.[[#This Row],[Periodo]])</f>
        <v>20000</v>
      </c>
      <c r="Q58" s="11">
        <v>80000</v>
      </c>
      <c r="R58" s="8" t="s">
        <v>284</v>
      </c>
      <c r="S58" s="53" t="str">
        <f>VLOOKUP(Data.[[#This Row],[Ejecutivo]],Productividad!D:N,11,0)</f>
        <v>71870286</v>
      </c>
      <c r="T58" s="54" t="str">
        <f>VLOOKUP(Data.[[#This Row],[DNI Ejecutivo]],Productividad!C:U,8,0)</f>
        <v>william.cortez@lozapay.com.pe</v>
      </c>
      <c r="U58" s="53" t="str">
        <f>VLOOKUP(Data.[[#This Row],[DNI Ejecutivo]],Productividad!C:U,4,0)</f>
        <v>Senior</v>
      </c>
      <c r="V58" s="53" t="str">
        <f>IFERROR(VLOOKUP(Data.[[#This Row],[DNI Ejecutivo]],Ejecutivos.[],11,0),"")</f>
        <v>Norte Lapoint</v>
      </c>
      <c r="W58" s="8" t="s">
        <v>98</v>
      </c>
      <c r="X58" s="53" t="str" cm="1">
        <f t="array" ref="X58">IFERROR(_xlfn.IFS(Data.[[#This Row],[Supervisor]]="Jonathan Lapoint","Norte",Data.[[#This Row],[Supervisor]]="Jorge Fuentes","Norte"),"Lima")</f>
        <v>Norte</v>
      </c>
      <c r="Y58" s="53" t="str">
        <f>VLOOKUP(Data.[[#This Row],[Supervisor]],Ejecutivos!B:S,17,0)</f>
        <v>70430554</v>
      </c>
      <c r="Z58" s="54" t="str">
        <f>VLOOKUP(Data.[[#This Row],[DNI Supervisor]],Productividad!C:U,8,0)</f>
        <v>jlapointp@lozapay.com.pe</v>
      </c>
      <c r="AA58" s="8"/>
      <c r="AB58" s="8" t="s">
        <v>786</v>
      </c>
      <c r="AC58" s="53" t="str">
        <f>IFERROR(CONCATENATE(Data.[[#This Row],[DNI Ejecutivo]],Data.[[#This Row],[Periodo]]),"")</f>
        <v>7187028646174</v>
      </c>
      <c r="AD58" s="53" t="str">
        <f>IFERROR(VLOOKUP(Data.[[#This Row],[Código LT]],Reportería.[],10,0),"")</f>
        <v/>
      </c>
      <c r="AE58" s="53" t="str">
        <f>IFERROR(VLOOKUP(Data.[[#This Row],[Código LT]],Reportería.[],11,0),"")</f>
        <v/>
      </c>
      <c r="AF58" s="13">
        <f>IFERROR(VLOOKUP(Data.[[#This Row],[Código]],Reportería!A:BV,57,0),0)</f>
        <v>0</v>
      </c>
      <c r="AG58" s="13"/>
      <c r="AH58" s="13"/>
      <c r="AI58" s="11">
        <f>IF(TEXT(Data.[[#This Row],[Periodo]],"mmm-yy")="may-26",VLOOKUP(Data.[[#This Row],[Código]],Reportería!A:BV,57,0),0)</f>
        <v>0</v>
      </c>
      <c r="AJ58" s="11"/>
      <c r="AK58" s="11"/>
      <c r="AL58" s="11">
        <f>IF(Data.[[#This Row],[Vol M0]]="",0,0)</f>
        <v>0</v>
      </c>
      <c r="AM58" s="11">
        <f>IF(Data.[[#This Row],[Vol M0]]="",0,0)</f>
        <v>0</v>
      </c>
      <c r="AN58" s="11">
        <f>IF(Data.[[#This Row],[Vol M0]]="",0,0)</f>
        <v>0</v>
      </c>
      <c r="AO58" s="11">
        <f>IF(Data.[[#This Row],[Vol M0]]="",0,0)</f>
        <v>0</v>
      </c>
      <c r="AP58" s="11">
        <f>IF(Data.[[#This Row],[Vol M0]]="",0,0)</f>
        <v>0</v>
      </c>
      <c r="AQ58" s="11">
        <f>IF(Data.[[#This Row],[Vol M0]]="",0,0)</f>
        <v>0</v>
      </c>
      <c r="AR58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59" spans="1:44" ht="14.25" customHeight="1">
      <c r="A59" s="53" t="str">
        <f>CONCATENATE(Data.[[#This Row],[Código]],Data.[[#This Row],[Ruc]])</f>
        <v>408143520612053384</v>
      </c>
      <c r="B59" s="9">
        <v>46174</v>
      </c>
      <c r="C59" s="53" t="str">
        <f>IFERROR(VLOOKUP(Data.[[#This Row],[Código LT]],Reportería.[],71,0),"")</f>
        <v/>
      </c>
      <c r="D59" s="10">
        <f>IFERROR(VLOOKUP(Data.[[#This Row],[Código]],BV!A:C,2,0),"")</f>
        <v>46176</v>
      </c>
      <c r="E59" s="10">
        <f>IFERROR(VLOOKUP(Data.[[#This Row],[Código]],BV!A:C,3,0),"")</f>
        <v>0</v>
      </c>
      <c r="F59" s="53">
        <v>4081435</v>
      </c>
      <c r="G59" s="8"/>
      <c r="H59" s="8">
        <v>20612053384</v>
      </c>
      <c r="I59" s="8" t="s">
        <v>740</v>
      </c>
      <c r="J59" s="8" t="s">
        <v>887</v>
      </c>
      <c r="K59" s="53" t="str">
        <f>IF(Data.[[#This Row],[Tipo de Venta]]&lt;&gt;"POS","Atendido",IF(Data.[[#This Row],[Fecha de Instalación]]&lt;&gt;"","Atendido","Ingresado"))</f>
        <v>Atendido</v>
      </c>
      <c r="L59" s="53" t="str">
        <f>Data.[[#This Row],[Estado]]</f>
        <v>Atendido</v>
      </c>
      <c r="M59" s="53" t="s">
        <v>785</v>
      </c>
      <c r="N59" s="53" t="str">
        <f>IFERROR(VLOOKUP(Data.[[#This Row],[Código LT]],Reportería.[],20,0),"")</f>
        <v/>
      </c>
      <c r="O59" s="53" t="str">
        <f>IFERROR(VLOOKUP(Data.[[#This Row],[Código LT]],Reportería.[],5,0),"")</f>
        <v/>
      </c>
      <c r="P59" s="11">
        <f>Data.[[#This Row],[GPV Mensual LT]]/COUNTIFS(H:H,Data.[[#This Row],[Ruc]],B:B,Data.[[#This Row],[Periodo]])</f>
        <v>20000</v>
      </c>
      <c r="Q59" s="11">
        <v>80000</v>
      </c>
      <c r="R59" s="8" t="s">
        <v>284</v>
      </c>
      <c r="S59" s="53" t="str">
        <f>VLOOKUP(Data.[[#This Row],[Ejecutivo]],Productividad!D:N,11,0)</f>
        <v>71870286</v>
      </c>
      <c r="T59" s="54" t="str">
        <f>VLOOKUP(Data.[[#This Row],[DNI Ejecutivo]],Productividad!C:U,8,0)</f>
        <v>william.cortez@lozapay.com.pe</v>
      </c>
      <c r="U59" s="53" t="str">
        <f>VLOOKUP(Data.[[#This Row],[DNI Ejecutivo]],Productividad!C:U,4,0)</f>
        <v>Senior</v>
      </c>
      <c r="V59" s="53" t="str">
        <f>IFERROR(VLOOKUP(Data.[[#This Row],[DNI Ejecutivo]],Ejecutivos.[],11,0),"")</f>
        <v>Norte Lapoint</v>
      </c>
      <c r="W59" s="8" t="s">
        <v>98</v>
      </c>
      <c r="X59" s="53" t="str" cm="1">
        <f t="array" ref="X59">IFERROR(_xlfn.IFS(Data.[[#This Row],[Supervisor]]="Jonathan Lapoint","Norte",Data.[[#This Row],[Supervisor]]="Jorge Fuentes","Norte"),"Lima")</f>
        <v>Norte</v>
      </c>
      <c r="Y59" s="53" t="str">
        <f>VLOOKUP(Data.[[#This Row],[Supervisor]],Ejecutivos!B:S,17,0)</f>
        <v>70430554</v>
      </c>
      <c r="Z59" s="54" t="str">
        <f>VLOOKUP(Data.[[#This Row],[DNI Supervisor]],Productividad!C:U,8,0)</f>
        <v>jlapointp@lozapay.com.pe</v>
      </c>
      <c r="AA59" s="8"/>
      <c r="AB59" s="8" t="s">
        <v>786</v>
      </c>
      <c r="AC59" s="53" t="str">
        <f>IFERROR(CONCATENATE(Data.[[#This Row],[DNI Ejecutivo]],Data.[[#This Row],[Periodo]]),"")</f>
        <v>7187028646174</v>
      </c>
      <c r="AD59" s="53" t="str">
        <f>IFERROR(VLOOKUP(Data.[[#This Row],[Código LT]],Reportería.[],10,0),"")</f>
        <v/>
      </c>
      <c r="AE59" s="53" t="str">
        <f>IFERROR(VLOOKUP(Data.[[#This Row],[Código LT]],Reportería.[],11,0),"")</f>
        <v/>
      </c>
      <c r="AF59" s="13">
        <f>IFERROR(VLOOKUP(Data.[[#This Row],[Código]],Reportería!A:BV,57,0),0)</f>
        <v>0</v>
      </c>
      <c r="AG59" s="13"/>
      <c r="AH59" s="13"/>
      <c r="AI59" s="11">
        <f>IF(TEXT(Data.[[#This Row],[Periodo]],"mmm-yy")="may-26",VLOOKUP(Data.[[#This Row],[Código]],Reportería!A:BV,57,0),0)</f>
        <v>0</v>
      </c>
      <c r="AJ59" s="11"/>
      <c r="AK59" s="11"/>
      <c r="AL59" s="11">
        <f>IF(Data.[[#This Row],[Vol M0]]="",0,0)</f>
        <v>0</v>
      </c>
      <c r="AM59" s="11">
        <f>IF(Data.[[#This Row],[Vol M0]]="",0,0)</f>
        <v>0</v>
      </c>
      <c r="AN59" s="11">
        <f>IF(Data.[[#This Row],[Vol M0]]="",0,0)</f>
        <v>0</v>
      </c>
      <c r="AO59" s="11">
        <f>IF(Data.[[#This Row],[Vol M0]]="",0,0)</f>
        <v>0</v>
      </c>
      <c r="AP59" s="11">
        <f>IF(Data.[[#This Row],[Vol M0]]="",0,0)</f>
        <v>0</v>
      </c>
      <c r="AQ59" s="11">
        <f>IF(Data.[[#This Row],[Vol M0]]="",0,0)</f>
        <v>0</v>
      </c>
      <c r="AR59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60" spans="1:44" ht="14.25" customHeight="1">
      <c r="A60" s="53" t="str">
        <f>CONCATENATE(Data.[[#This Row],[Código]],Data.[[#This Row],[Ruc]])</f>
        <v>408143620612053384</v>
      </c>
      <c r="B60" s="9">
        <v>46174</v>
      </c>
      <c r="C60" s="53" t="str">
        <f>IFERROR(VLOOKUP(Data.[[#This Row],[Código LT]],Reportería.[],71,0),"")</f>
        <v/>
      </c>
      <c r="D60" s="10">
        <f>IFERROR(VLOOKUP(Data.[[#This Row],[Código]],BV!A:C,2,0),"")</f>
        <v>46176</v>
      </c>
      <c r="E60" s="10">
        <f>IFERROR(VLOOKUP(Data.[[#This Row],[Código]],BV!A:C,3,0),"")</f>
        <v>0</v>
      </c>
      <c r="F60" s="53">
        <v>4081436</v>
      </c>
      <c r="G60" s="8"/>
      <c r="H60" s="8">
        <v>20612053384</v>
      </c>
      <c r="I60" s="8" t="s">
        <v>740</v>
      </c>
      <c r="J60" s="8" t="s">
        <v>888</v>
      </c>
      <c r="K60" s="53" t="str">
        <f>IF(Data.[[#This Row],[Tipo de Venta]]&lt;&gt;"POS","Atendido",IF(Data.[[#This Row],[Fecha de Instalación]]&lt;&gt;"","Atendido","Ingresado"))</f>
        <v>Atendido</v>
      </c>
      <c r="L60" s="53" t="str">
        <f>Data.[[#This Row],[Estado]]</f>
        <v>Atendido</v>
      </c>
      <c r="M60" s="53" t="s">
        <v>785</v>
      </c>
      <c r="N60" s="53" t="str">
        <f>IFERROR(VLOOKUP(Data.[[#This Row],[Código LT]],Reportería.[],20,0),"")</f>
        <v/>
      </c>
      <c r="O60" s="53" t="str">
        <f>IFERROR(VLOOKUP(Data.[[#This Row],[Código LT]],Reportería.[],5,0),"")</f>
        <v/>
      </c>
      <c r="P60" s="11">
        <f>Data.[[#This Row],[GPV Mensual LT]]/COUNTIFS(H:H,Data.[[#This Row],[Ruc]],B:B,Data.[[#This Row],[Periodo]])</f>
        <v>20000</v>
      </c>
      <c r="Q60" s="11">
        <v>80000</v>
      </c>
      <c r="R60" s="8" t="s">
        <v>284</v>
      </c>
      <c r="S60" s="53" t="str">
        <f>VLOOKUP(Data.[[#This Row],[Ejecutivo]],Productividad!D:N,11,0)</f>
        <v>71870286</v>
      </c>
      <c r="T60" s="54" t="str">
        <f>VLOOKUP(Data.[[#This Row],[DNI Ejecutivo]],Productividad!C:U,8,0)</f>
        <v>william.cortez@lozapay.com.pe</v>
      </c>
      <c r="U60" s="53" t="str">
        <f>VLOOKUP(Data.[[#This Row],[DNI Ejecutivo]],Productividad!C:U,4,0)</f>
        <v>Senior</v>
      </c>
      <c r="V60" s="53" t="str">
        <f>IFERROR(VLOOKUP(Data.[[#This Row],[DNI Ejecutivo]],Ejecutivos.[],11,0),"")</f>
        <v>Norte Lapoint</v>
      </c>
      <c r="W60" s="8" t="s">
        <v>98</v>
      </c>
      <c r="X60" s="53" t="str" cm="1">
        <f t="array" ref="X60">IFERROR(_xlfn.IFS(Data.[[#This Row],[Supervisor]]="Jonathan Lapoint","Norte",Data.[[#This Row],[Supervisor]]="Jorge Fuentes","Norte"),"Lima")</f>
        <v>Norte</v>
      </c>
      <c r="Y60" s="53" t="str">
        <f>VLOOKUP(Data.[[#This Row],[Supervisor]],Ejecutivos!B:S,17,0)</f>
        <v>70430554</v>
      </c>
      <c r="Z60" s="54" t="str">
        <f>VLOOKUP(Data.[[#This Row],[DNI Supervisor]],Productividad!C:U,8,0)</f>
        <v>jlapointp@lozapay.com.pe</v>
      </c>
      <c r="AA60" s="8"/>
      <c r="AB60" s="8" t="s">
        <v>786</v>
      </c>
      <c r="AC60" s="53" t="str">
        <f>IFERROR(CONCATENATE(Data.[[#This Row],[DNI Ejecutivo]],Data.[[#This Row],[Periodo]]),"")</f>
        <v>7187028646174</v>
      </c>
      <c r="AD60" s="53" t="str">
        <f>IFERROR(VLOOKUP(Data.[[#This Row],[Código LT]],Reportería.[],10,0),"")</f>
        <v/>
      </c>
      <c r="AE60" s="53" t="str">
        <f>IFERROR(VLOOKUP(Data.[[#This Row],[Código LT]],Reportería.[],11,0),"")</f>
        <v/>
      </c>
      <c r="AF60" s="13">
        <f>IFERROR(VLOOKUP(Data.[[#This Row],[Código]],Reportería!A:BV,57,0),0)</f>
        <v>0</v>
      </c>
      <c r="AG60" s="13"/>
      <c r="AH60" s="13"/>
      <c r="AI60" s="11">
        <f>IF(TEXT(Data.[[#This Row],[Periodo]],"mmm-yy")="may-26",VLOOKUP(Data.[[#This Row],[Código]],Reportería!A:BV,57,0),0)</f>
        <v>0</v>
      </c>
      <c r="AJ60" s="11"/>
      <c r="AK60" s="11"/>
      <c r="AL60" s="11">
        <f>IF(Data.[[#This Row],[Vol M0]]="",0,0)</f>
        <v>0</v>
      </c>
      <c r="AM60" s="11">
        <f>IF(Data.[[#This Row],[Vol M0]]="",0,0)</f>
        <v>0</v>
      </c>
      <c r="AN60" s="11">
        <f>IF(Data.[[#This Row],[Vol M0]]="",0,0)</f>
        <v>0</v>
      </c>
      <c r="AO60" s="11">
        <f>IF(Data.[[#This Row],[Vol M0]]="",0,0)</f>
        <v>0</v>
      </c>
      <c r="AP60" s="11">
        <f>IF(Data.[[#This Row],[Vol M0]]="",0,0)</f>
        <v>0</v>
      </c>
      <c r="AQ60" s="11">
        <f>IF(Data.[[#This Row],[Vol M0]]="",0,0)</f>
        <v>0</v>
      </c>
      <c r="AR60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61" spans="1:44" ht="14.25" customHeight="1">
      <c r="A61" s="53" t="str">
        <f>CONCATENATE(Data.[[#This Row],[Código]],Data.[[#This Row],[Ruc]])</f>
        <v>595546020613633601</v>
      </c>
      <c r="B61" s="9">
        <v>46174</v>
      </c>
      <c r="C61" s="53" t="str">
        <f>IFERROR(VLOOKUP(Data.[[#This Row],[Código LT]],Reportería.[],71,0),"")</f>
        <v/>
      </c>
      <c r="D61" s="10">
        <f>IFERROR(VLOOKUP(Data.[[#This Row],[Código]],BV!A:C,2,0),"")</f>
        <v>46176</v>
      </c>
      <c r="E61" s="10">
        <f>IFERROR(VLOOKUP(Data.[[#This Row],[Código]],BV!A:C,3,0),"")</f>
        <v>46176</v>
      </c>
      <c r="F61" s="53">
        <v>5955460</v>
      </c>
      <c r="G61" s="8" t="s">
        <v>742</v>
      </c>
      <c r="H61" s="8">
        <v>20613633601</v>
      </c>
      <c r="I61" s="8" t="s">
        <v>743</v>
      </c>
      <c r="J61" s="8" t="s">
        <v>744</v>
      </c>
      <c r="K61" s="53" t="str">
        <f>IF(Data.[[#This Row],[Tipo de Venta]]&lt;&gt;"POS","Atendido",IF(Data.[[#This Row],[Fecha de Instalación]]&lt;&gt;"","Atendido","Ingresado"))</f>
        <v>Atendido</v>
      </c>
      <c r="L61" s="53" t="str">
        <f>Data.[[#This Row],[Estado]]</f>
        <v>Atendido</v>
      </c>
      <c r="M61" s="8" t="s">
        <v>33</v>
      </c>
      <c r="N61" s="53" t="str">
        <f>IFERROR(VLOOKUP(Data.[[#This Row],[Código LT]],Reportería.[],20,0),"")</f>
        <v/>
      </c>
      <c r="O61" s="53" t="str">
        <f>IFERROR(VLOOKUP(Data.[[#This Row],[Código LT]],Reportería.[],5,0),"")</f>
        <v/>
      </c>
      <c r="P61" s="11">
        <f>Data.[[#This Row],[GPV Mensual LT]]/COUNTIFS(H:H,Data.[[#This Row],[Ruc]],B:B,Data.[[#This Row],[Periodo]])</f>
        <v>25000</v>
      </c>
      <c r="Q61" s="11">
        <v>200000</v>
      </c>
      <c r="R61" s="8" t="s">
        <v>271</v>
      </c>
      <c r="S61" s="53" t="str">
        <f>VLOOKUP(Data.[[#This Row],[Ejecutivo]],Productividad!D:N,11,0)</f>
        <v>00100436</v>
      </c>
      <c r="T61" s="54" t="str">
        <f>VLOOKUP(Data.[[#This Row],[DNI Ejecutivo]],Productividad!C:U,8,0)</f>
        <v>Linley.casique@lozapay.com.pe</v>
      </c>
      <c r="U61" s="53" t="str">
        <f>VLOOKUP(Data.[[#This Row],[DNI Ejecutivo]],Productividad!C:U,4,0)</f>
        <v>Hunter</v>
      </c>
      <c r="V61" s="53" t="str">
        <f>IFERROR(VLOOKUP(Data.[[#This Row],[DNI Ejecutivo]],Ejecutivos.[],11,0),"")</f>
        <v>Norte Lapoint</v>
      </c>
      <c r="W61" s="8" t="s">
        <v>98</v>
      </c>
      <c r="X61" s="53" t="str" cm="1">
        <f t="array" ref="X61">IFERROR(_xlfn.IFS(Data.[[#This Row],[Supervisor]]="Jonathan Lapoint","Norte",Data.[[#This Row],[Supervisor]]="Jorge Fuentes","Norte"),"Lima")</f>
        <v>Norte</v>
      </c>
      <c r="Y61" s="53" t="str">
        <f>VLOOKUP(Data.[[#This Row],[Supervisor]],Ejecutivos!B:S,17,0)</f>
        <v>70430554</v>
      </c>
      <c r="Z61" s="54" t="str">
        <f>VLOOKUP(Data.[[#This Row],[DNI Supervisor]],Productividad!C:U,8,0)</f>
        <v>jlapointp@lozapay.com.pe</v>
      </c>
      <c r="AA61" s="8"/>
      <c r="AB61" s="8" t="s">
        <v>786</v>
      </c>
      <c r="AC61" s="53" t="str">
        <f>IFERROR(CONCATENATE(Data.[[#This Row],[DNI Ejecutivo]],Data.[[#This Row],[Periodo]]),"")</f>
        <v>0010043646174</v>
      </c>
      <c r="AD61" s="53" t="str">
        <f>IFERROR(VLOOKUP(Data.[[#This Row],[Código LT]],Reportería.[],10,0),"")</f>
        <v/>
      </c>
      <c r="AE61" s="53" t="str">
        <f>IFERROR(VLOOKUP(Data.[[#This Row],[Código LT]],Reportería.[],11,0),"")</f>
        <v/>
      </c>
      <c r="AF61" s="13">
        <f>IFERROR(VLOOKUP(Data.[[#This Row],[Código]],Reportería!A:BV,57,0),0)</f>
        <v>2902</v>
      </c>
      <c r="AG61" s="13"/>
      <c r="AH61" s="13"/>
      <c r="AI61" s="11">
        <f>IF(TEXT(Data.[[#This Row],[Periodo]],"mmm-yy")="may-26",VLOOKUP(Data.[[#This Row],[Código]],Reportería!A:BV,57,0),0)</f>
        <v>0</v>
      </c>
      <c r="AJ61" s="11"/>
      <c r="AK61" s="11"/>
      <c r="AL61" s="11">
        <f>IF(Data.[[#This Row],[Vol M0]]="",0,0)</f>
        <v>0</v>
      </c>
      <c r="AM61" s="11">
        <f>IF(Data.[[#This Row],[Vol M0]]="",0,0)</f>
        <v>0</v>
      </c>
      <c r="AN61" s="11">
        <f>IF(Data.[[#This Row],[Vol M0]]="",0,0)</f>
        <v>0</v>
      </c>
      <c r="AO61" s="11">
        <f>IF(Data.[[#This Row],[Vol M0]]="",0,0)</f>
        <v>0</v>
      </c>
      <c r="AP61" s="11">
        <f>IF(Data.[[#This Row],[Vol M0]]="",0,0)</f>
        <v>0</v>
      </c>
      <c r="AQ61" s="11">
        <f>IF(Data.[[#This Row],[Vol M0]]="",0,0)</f>
        <v>0</v>
      </c>
      <c r="AR61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0.125</v>
      </c>
    </row>
    <row r="62" spans="1:44" ht="14.25" customHeight="1">
      <c r="A62" s="53" t="str">
        <f>CONCATENATE(Data.[[#This Row],[Código]],Data.[[#This Row],[Ruc]])</f>
        <v>595546520613633601</v>
      </c>
      <c r="B62" s="9">
        <v>46174</v>
      </c>
      <c r="C62" s="53" t="str">
        <f>IFERROR(VLOOKUP(Data.[[#This Row],[Código LT]],Reportería.[],71,0),"")</f>
        <v/>
      </c>
      <c r="D62" s="10">
        <f>IFERROR(VLOOKUP(Data.[[#This Row],[Código]],BV!A:C,2,0),"")</f>
        <v>46176</v>
      </c>
      <c r="E62" s="10">
        <f>IFERROR(VLOOKUP(Data.[[#This Row],[Código]],BV!A:C,3,0),"")</f>
        <v>46176</v>
      </c>
      <c r="F62" s="53">
        <v>5955465</v>
      </c>
      <c r="G62" s="8" t="s">
        <v>745</v>
      </c>
      <c r="H62" s="8">
        <v>20613633601</v>
      </c>
      <c r="I62" s="8" t="s">
        <v>743</v>
      </c>
      <c r="J62" s="8" t="s">
        <v>744</v>
      </c>
      <c r="K62" s="53" t="str">
        <f>IF(Data.[[#This Row],[Tipo de Venta]]&lt;&gt;"POS","Atendido",IF(Data.[[#This Row],[Fecha de Instalación]]&lt;&gt;"","Atendido","Ingresado"))</f>
        <v>Atendido</v>
      </c>
      <c r="L62" s="53" t="str">
        <f>Data.[[#This Row],[Estado]]</f>
        <v>Atendido</v>
      </c>
      <c r="M62" s="8" t="s">
        <v>33</v>
      </c>
      <c r="N62" s="53" t="str">
        <f>IFERROR(VLOOKUP(Data.[[#This Row],[Código LT]],Reportería.[],20,0),"")</f>
        <v/>
      </c>
      <c r="O62" s="53" t="str">
        <f>IFERROR(VLOOKUP(Data.[[#This Row],[Código LT]],Reportería.[],5,0),"")</f>
        <v/>
      </c>
      <c r="P62" s="11">
        <f>Data.[[#This Row],[GPV Mensual LT]]/COUNTIFS(H:H,Data.[[#This Row],[Ruc]],B:B,Data.[[#This Row],[Periodo]])</f>
        <v>25000</v>
      </c>
      <c r="Q62" s="11">
        <v>200000</v>
      </c>
      <c r="R62" s="8" t="s">
        <v>271</v>
      </c>
      <c r="S62" s="53" t="str">
        <f>VLOOKUP(Data.[[#This Row],[Ejecutivo]],Productividad!D:N,11,0)</f>
        <v>00100436</v>
      </c>
      <c r="T62" s="54" t="str">
        <f>VLOOKUP(Data.[[#This Row],[DNI Ejecutivo]],Productividad!C:U,8,0)</f>
        <v>Linley.casique@lozapay.com.pe</v>
      </c>
      <c r="U62" s="53" t="str">
        <f>VLOOKUP(Data.[[#This Row],[DNI Ejecutivo]],Productividad!C:U,4,0)</f>
        <v>Hunter</v>
      </c>
      <c r="V62" s="53" t="str">
        <f>IFERROR(VLOOKUP(Data.[[#This Row],[DNI Ejecutivo]],Ejecutivos.[],11,0),"")</f>
        <v>Norte Lapoint</v>
      </c>
      <c r="W62" s="8" t="s">
        <v>98</v>
      </c>
      <c r="X62" s="53" t="str" cm="1">
        <f t="array" ref="X62">IFERROR(_xlfn.IFS(Data.[[#This Row],[Supervisor]]="Jonathan Lapoint","Norte",Data.[[#This Row],[Supervisor]]="Jorge Fuentes","Norte"),"Lima")</f>
        <v>Norte</v>
      </c>
      <c r="Y62" s="53" t="str">
        <f>VLOOKUP(Data.[[#This Row],[Supervisor]],Ejecutivos!B:S,17,0)</f>
        <v>70430554</v>
      </c>
      <c r="Z62" s="54" t="str">
        <f>VLOOKUP(Data.[[#This Row],[DNI Supervisor]],Productividad!C:U,8,0)</f>
        <v>jlapointp@lozapay.com.pe</v>
      </c>
      <c r="AA62" s="8"/>
      <c r="AB62" s="8" t="s">
        <v>786</v>
      </c>
      <c r="AC62" s="53" t="str">
        <f>IFERROR(CONCATENATE(Data.[[#This Row],[DNI Ejecutivo]],Data.[[#This Row],[Periodo]]),"")</f>
        <v>0010043646174</v>
      </c>
      <c r="AD62" s="53" t="str">
        <f>IFERROR(VLOOKUP(Data.[[#This Row],[Código LT]],Reportería.[],10,0),"")</f>
        <v/>
      </c>
      <c r="AE62" s="53" t="str">
        <f>IFERROR(VLOOKUP(Data.[[#This Row],[Código LT]],Reportería.[],11,0),"")</f>
        <v/>
      </c>
      <c r="AF62" s="13">
        <f>IFERROR(VLOOKUP(Data.[[#This Row],[Código]],Reportería!A:BV,57,0),0)</f>
        <v>1496</v>
      </c>
      <c r="AG62" s="13"/>
      <c r="AH62" s="13"/>
      <c r="AI62" s="11">
        <f>IF(TEXT(Data.[[#This Row],[Periodo]],"mmm-yy")="may-26",VLOOKUP(Data.[[#This Row],[Código]],Reportería!A:BV,57,0),0)</f>
        <v>0</v>
      </c>
      <c r="AJ62" s="11"/>
      <c r="AK62" s="11"/>
      <c r="AL62" s="11">
        <f>IF(Data.[[#This Row],[Vol M0]]="",0,0)</f>
        <v>0</v>
      </c>
      <c r="AM62" s="11">
        <f>IF(Data.[[#This Row],[Vol M0]]="",0,0)</f>
        <v>0</v>
      </c>
      <c r="AN62" s="11">
        <f>IF(Data.[[#This Row],[Vol M0]]="",0,0)</f>
        <v>0</v>
      </c>
      <c r="AO62" s="11">
        <f>IF(Data.[[#This Row],[Vol M0]]="",0,0)</f>
        <v>0</v>
      </c>
      <c r="AP62" s="11">
        <f>IF(Data.[[#This Row],[Vol M0]]="",0,0)</f>
        <v>0</v>
      </c>
      <c r="AQ62" s="11">
        <f>IF(Data.[[#This Row],[Vol M0]]="",0,0)</f>
        <v>0</v>
      </c>
      <c r="AR62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0.125</v>
      </c>
    </row>
    <row r="63" spans="1:44" ht="14.25" customHeight="1">
      <c r="A63" s="53" t="str">
        <f>CONCATENATE(Data.[[#This Row],[Código]],Data.[[#This Row],[Ruc]])</f>
        <v>595547220613633601</v>
      </c>
      <c r="B63" s="9">
        <v>46174</v>
      </c>
      <c r="C63" s="53" t="str">
        <f>IFERROR(VLOOKUP(Data.[[#This Row],[Código LT]],Reportería.[],71,0),"")</f>
        <v/>
      </c>
      <c r="D63" s="10">
        <f>IFERROR(VLOOKUP(Data.[[#This Row],[Código]],BV!A:C,2,0),"")</f>
        <v>46176</v>
      </c>
      <c r="E63" s="10">
        <f>IFERROR(VLOOKUP(Data.[[#This Row],[Código]],BV!A:C,3,0),"")</f>
        <v>46176</v>
      </c>
      <c r="F63" s="53">
        <v>5955472</v>
      </c>
      <c r="G63" s="8" t="s">
        <v>746</v>
      </c>
      <c r="H63" s="8">
        <v>20613633601</v>
      </c>
      <c r="I63" s="8" t="s">
        <v>743</v>
      </c>
      <c r="J63" s="8" t="s">
        <v>744</v>
      </c>
      <c r="K63" s="53" t="str">
        <f>IF(Data.[[#This Row],[Tipo de Venta]]&lt;&gt;"POS","Atendido",IF(Data.[[#This Row],[Fecha de Instalación]]&lt;&gt;"","Atendido","Ingresado"))</f>
        <v>Atendido</v>
      </c>
      <c r="L63" s="53" t="str">
        <f>Data.[[#This Row],[Estado]]</f>
        <v>Atendido</v>
      </c>
      <c r="M63" s="8" t="s">
        <v>33</v>
      </c>
      <c r="N63" s="53" t="str">
        <f>IFERROR(VLOOKUP(Data.[[#This Row],[Código LT]],Reportería.[],20,0),"")</f>
        <v/>
      </c>
      <c r="O63" s="53" t="str">
        <f>IFERROR(VLOOKUP(Data.[[#This Row],[Código LT]],Reportería.[],5,0),"")</f>
        <v/>
      </c>
      <c r="P63" s="11">
        <f>Data.[[#This Row],[GPV Mensual LT]]/COUNTIFS(H:H,Data.[[#This Row],[Ruc]],B:B,Data.[[#This Row],[Periodo]])</f>
        <v>25000</v>
      </c>
      <c r="Q63" s="11">
        <v>200000</v>
      </c>
      <c r="R63" s="8" t="s">
        <v>271</v>
      </c>
      <c r="S63" s="53" t="str">
        <f>VLOOKUP(Data.[[#This Row],[Ejecutivo]],Productividad!D:N,11,0)</f>
        <v>00100436</v>
      </c>
      <c r="T63" s="54" t="str">
        <f>VLOOKUP(Data.[[#This Row],[DNI Ejecutivo]],Productividad!C:U,8,0)</f>
        <v>Linley.casique@lozapay.com.pe</v>
      </c>
      <c r="U63" s="53" t="str">
        <f>VLOOKUP(Data.[[#This Row],[DNI Ejecutivo]],Productividad!C:U,4,0)</f>
        <v>Hunter</v>
      </c>
      <c r="V63" s="53" t="str">
        <f>IFERROR(VLOOKUP(Data.[[#This Row],[DNI Ejecutivo]],Ejecutivos.[],11,0),"")</f>
        <v>Norte Lapoint</v>
      </c>
      <c r="W63" s="8" t="s">
        <v>98</v>
      </c>
      <c r="X63" s="53" t="str" cm="1">
        <f t="array" ref="X63">IFERROR(_xlfn.IFS(Data.[[#This Row],[Supervisor]]="Jonathan Lapoint","Norte",Data.[[#This Row],[Supervisor]]="Jorge Fuentes","Norte"),"Lima")</f>
        <v>Norte</v>
      </c>
      <c r="Y63" s="53" t="str">
        <f>VLOOKUP(Data.[[#This Row],[Supervisor]],Ejecutivos!B:S,17,0)</f>
        <v>70430554</v>
      </c>
      <c r="Z63" s="54" t="str">
        <f>VLOOKUP(Data.[[#This Row],[DNI Supervisor]],Productividad!C:U,8,0)</f>
        <v>jlapointp@lozapay.com.pe</v>
      </c>
      <c r="AA63" s="8"/>
      <c r="AB63" s="8" t="s">
        <v>786</v>
      </c>
      <c r="AC63" s="53" t="str">
        <f>IFERROR(CONCATENATE(Data.[[#This Row],[DNI Ejecutivo]],Data.[[#This Row],[Periodo]]),"")</f>
        <v>0010043646174</v>
      </c>
      <c r="AD63" s="53" t="str">
        <f>IFERROR(VLOOKUP(Data.[[#This Row],[Código LT]],Reportería.[],10,0),"")</f>
        <v/>
      </c>
      <c r="AE63" s="53" t="str">
        <f>IFERROR(VLOOKUP(Data.[[#This Row],[Código LT]],Reportería.[],11,0),"")</f>
        <v/>
      </c>
      <c r="AF63" s="13">
        <f>IFERROR(VLOOKUP(Data.[[#This Row],[Código]],Reportería!A:BV,57,0),0)</f>
        <v>1582</v>
      </c>
      <c r="AG63" s="13"/>
      <c r="AH63" s="13"/>
      <c r="AI63" s="11">
        <f>IF(TEXT(Data.[[#This Row],[Periodo]],"mmm-yy")="may-26",VLOOKUP(Data.[[#This Row],[Código]],Reportería!A:BV,57,0),0)</f>
        <v>0</v>
      </c>
      <c r="AJ63" s="11"/>
      <c r="AK63" s="11"/>
      <c r="AL63" s="11">
        <f>IF(Data.[[#This Row],[Vol M0]]="",0,0)</f>
        <v>0</v>
      </c>
      <c r="AM63" s="11">
        <f>IF(Data.[[#This Row],[Vol M0]]="",0,0)</f>
        <v>0</v>
      </c>
      <c r="AN63" s="11">
        <f>IF(Data.[[#This Row],[Vol M0]]="",0,0)</f>
        <v>0</v>
      </c>
      <c r="AO63" s="11">
        <f>IF(Data.[[#This Row],[Vol M0]]="",0,0)</f>
        <v>0</v>
      </c>
      <c r="AP63" s="11">
        <f>IF(Data.[[#This Row],[Vol M0]]="",0,0)</f>
        <v>0</v>
      </c>
      <c r="AQ63" s="11">
        <f>IF(Data.[[#This Row],[Vol M0]]="",0,0)</f>
        <v>0</v>
      </c>
      <c r="AR63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0.125</v>
      </c>
    </row>
    <row r="64" spans="1:44" ht="14.25" customHeight="1">
      <c r="A64" s="53" t="str">
        <f>CONCATENATE(Data.[[#This Row],[Código]],Data.[[#This Row],[Ruc]])</f>
        <v>595549720613633601</v>
      </c>
      <c r="B64" s="9">
        <v>46174</v>
      </c>
      <c r="C64" s="53" t="str">
        <f>IFERROR(VLOOKUP(Data.[[#This Row],[Código LT]],Reportería.[],71,0),"")</f>
        <v/>
      </c>
      <c r="D64" s="10">
        <f>IFERROR(VLOOKUP(Data.[[#This Row],[Código]],BV!A:C,2,0),"")</f>
        <v>46176</v>
      </c>
      <c r="E64" s="10">
        <f>IFERROR(VLOOKUP(Data.[[#This Row],[Código]],BV!A:C,3,0),"")</f>
        <v>46176</v>
      </c>
      <c r="F64" s="53">
        <v>5955497</v>
      </c>
      <c r="G64" s="8" t="s">
        <v>747</v>
      </c>
      <c r="H64" s="8">
        <v>20613633601</v>
      </c>
      <c r="I64" s="8" t="s">
        <v>743</v>
      </c>
      <c r="J64" s="8" t="s">
        <v>744</v>
      </c>
      <c r="K64" s="53" t="str">
        <f>IF(Data.[[#This Row],[Tipo de Venta]]&lt;&gt;"POS","Atendido",IF(Data.[[#This Row],[Fecha de Instalación]]&lt;&gt;"","Atendido","Ingresado"))</f>
        <v>Atendido</v>
      </c>
      <c r="L64" s="53" t="str">
        <f>Data.[[#This Row],[Estado]]</f>
        <v>Atendido</v>
      </c>
      <c r="M64" s="8" t="s">
        <v>33</v>
      </c>
      <c r="N64" s="53" t="str">
        <f>IFERROR(VLOOKUP(Data.[[#This Row],[Código LT]],Reportería.[],20,0),"")</f>
        <v/>
      </c>
      <c r="O64" s="53" t="str">
        <f>IFERROR(VLOOKUP(Data.[[#This Row],[Código LT]],Reportería.[],5,0),"")</f>
        <v/>
      </c>
      <c r="P64" s="11">
        <f>Data.[[#This Row],[GPV Mensual LT]]/COUNTIFS(H:H,Data.[[#This Row],[Ruc]],B:B,Data.[[#This Row],[Periodo]])</f>
        <v>25000</v>
      </c>
      <c r="Q64" s="11">
        <v>200000</v>
      </c>
      <c r="R64" s="8" t="s">
        <v>271</v>
      </c>
      <c r="S64" s="53" t="str">
        <f>VLOOKUP(Data.[[#This Row],[Ejecutivo]],Productividad!D:N,11,0)</f>
        <v>00100436</v>
      </c>
      <c r="T64" s="54" t="str">
        <f>VLOOKUP(Data.[[#This Row],[DNI Ejecutivo]],Productividad!C:U,8,0)</f>
        <v>Linley.casique@lozapay.com.pe</v>
      </c>
      <c r="U64" s="53" t="str">
        <f>VLOOKUP(Data.[[#This Row],[DNI Ejecutivo]],Productividad!C:U,4,0)</f>
        <v>Hunter</v>
      </c>
      <c r="V64" s="53" t="str">
        <f>IFERROR(VLOOKUP(Data.[[#This Row],[DNI Ejecutivo]],Ejecutivos.[],11,0),"")</f>
        <v>Norte Lapoint</v>
      </c>
      <c r="W64" s="8" t="s">
        <v>98</v>
      </c>
      <c r="X64" s="53" t="str" cm="1">
        <f t="array" ref="X64">IFERROR(_xlfn.IFS(Data.[[#This Row],[Supervisor]]="Jonathan Lapoint","Norte",Data.[[#This Row],[Supervisor]]="Jorge Fuentes","Norte"),"Lima")</f>
        <v>Norte</v>
      </c>
      <c r="Y64" s="53" t="str">
        <f>VLOOKUP(Data.[[#This Row],[Supervisor]],Ejecutivos!B:S,17,0)</f>
        <v>70430554</v>
      </c>
      <c r="Z64" s="54" t="str">
        <f>VLOOKUP(Data.[[#This Row],[DNI Supervisor]],Productividad!C:U,8,0)</f>
        <v>jlapointp@lozapay.com.pe</v>
      </c>
      <c r="AA64" s="8"/>
      <c r="AB64" s="8" t="s">
        <v>786</v>
      </c>
      <c r="AC64" s="53" t="str">
        <f>IFERROR(CONCATENATE(Data.[[#This Row],[DNI Ejecutivo]],Data.[[#This Row],[Periodo]]),"")</f>
        <v>0010043646174</v>
      </c>
      <c r="AD64" s="53" t="str">
        <f>IFERROR(VLOOKUP(Data.[[#This Row],[Código LT]],Reportería.[],10,0),"")</f>
        <v/>
      </c>
      <c r="AE64" s="53" t="str">
        <f>IFERROR(VLOOKUP(Data.[[#This Row],[Código LT]],Reportería.[],11,0),"")</f>
        <v/>
      </c>
      <c r="AF64" s="13">
        <f>IFERROR(VLOOKUP(Data.[[#This Row],[Código]],Reportería!A:BV,57,0),0)</f>
        <v>2656</v>
      </c>
      <c r="AG64" s="13"/>
      <c r="AH64" s="13"/>
      <c r="AI64" s="11">
        <f>IF(TEXT(Data.[[#This Row],[Periodo]],"mmm-yy")="may-26",VLOOKUP(Data.[[#This Row],[Código]],Reportería!A:BV,57,0),0)</f>
        <v>0</v>
      </c>
      <c r="AJ64" s="11"/>
      <c r="AK64" s="11"/>
      <c r="AL64" s="11">
        <f>IF(Data.[[#This Row],[Vol M0]]="",0,0)</f>
        <v>0</v>
      </c>
      <c r="AM64" s="11">
        <f>IF(Data.[[#This Row],[Vol M0]]="",0,0)</f>
        <v>0</v>
      </c>
      <c r="AN64" s="11">
        <f>IF(Data.[[#This Row],[Vol M0]]="",0,0)</f>
        <v>0</v>
      </c>
      <c r="AO64" s="11">
        <f>IF(Data.[[#This Row],[Vol M0]]="",0,0)</f>
        <v>0</v>
      </c>
      <c r="AP64" s="11">
        <f>IF(Data.[[#This Row],[Vol M0]]="",0,0)</f>
        <v>0</v>
      </c>
      <c r="AQ64" s="11">
        <f>IF(Data.[[#This Row],[Vol M0]]="",0,0)</f>
        <v>0</v>
      </c>
      <c r="AR64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0.125</v>
      </c>
    </row>
    <row r="65" spans="1:44" ht="14.25" customHeight="1">
      <c r="A65" s="53" t="str">
        <f>CONCATENATE(Data.[[#This Row],[Código]],Data.[[#This Row],[Ruc]])</f>
        <v>595550220613633601</v>
      </c>
      <c r="B65" s="9">
        <v>46174</v>
      </c>
      <c r="C65" s="53" t="str">
        <f>IFERROR(VLOOKUP(Data.[[#This Row],[Código LT]],Reportería.[],71,0),"")</f>
        <v/>
      </c>
      <c r="D65" s="10">
        <f>IFERROR(VLOOKUP(Data.[[#This Row],[Código]],BV!A:C,2,0),"")</f>
        <v>46176</v>
      </c>
      <c r="E65" s="10">
        <f>IFERROR(VLOOKUP(Data.[[#This Row],[Código]],BV!A:C,3,0),"")</f>
        <v>46176</v>
      </c>
      <c r="F65" s="53">
        <v>5955502</v>
      </c>
      <c r="G65" s="8" t="s">
        <v>748</v>
      </c>
      <c r="H65" s="8">
        <v>20613633601</v>
      </c>
      <c r="I65" s="8" t="s">
        <v>743</v>
      </c>
      <c r="J65" s="8" t="s">
        <v>744</v>
      </c>
      <c r="K65" s="53" t="str">
        <f>IF(Data.[[#This Row],[Tipo de Venta]]&lt;&gt;"POS","Atendido",IF(Data.[[#This Row],[Fecha de Instalación]]&lt;&gt;"","Atendido","Ingresado"))</f>
        <v>Atendido</v>
      </c>
      <c r="L65" s="53" t="str">
        <f>Data.[[#This Row],[Estado]]</f>
        <v>Atendido</v>
      </c>
      <c r="M65" s="8" t="s">
        <v>33</v>
      </c>
      <c r="N65" s="53" t="str">
        <f>IFERROR(VLOOKUP(Data.[[#This Row],[Código LT]],Reportería.[],20,0),"")</f>
        <v/>
      </c>
      <c r="O65" s="53" t="str">
        <f>IFERROR(VLOOKUP(Data.[[#This Row],[Código LT]],Reportería.[],5,0),"")</f>
        <v/>
      </c>
      <c r="P65" s="11">
        <f>Data.[[#This Row],[GPV Mensual LT]]/COUNTIFS(H:H,Data.[[#This Row],[Ruc]],B:B,Data.[[#This Row],[Periodo]])</f>
        <v>25000</v>
      </c>
      <c r="Q65" s="11">
        <v>200000</v>
      </c>
      <c r="R65" s="8" t="s">
        <v>271</v>
      </c>
      <c r="S65" s="53" t="str">
        <f>VLOOKUP(Data.[[#This Row],[Ejecutivo]],Productividad!D:N,11,0)</f>
        <v>00100436</v>
      </c>
      <c r="T65" s="54" t="str">
        <f>VLOOKUP(Data.[[#This Row],[DNI Ejecutivo]],Productividad!C:U,8,0)</f>
        <v>Linley.casique@lozapay.com.pe</v>
      </c>
      <c r="U65" s="53" t="str">
        <f>VLOOKUP(Data.[[#This Row],[DNI Ejecutivo]],Productividad!C:U,4,0)</f>
        <v>Hunter</v>
      </c>
      <c r="V65" s="53" t="str">
        <f>IFERROR(VLOOKUP(Data.[[#This Row],[DNI Ejecutivo]],Ejecutivos.[],11,0),"")</f>
        <v>Norte Lapoint</v>
      </c>
      <c r="W65" s="8" t="s">
        <v>98</v>
      </c>
      <c r="X65" s="53" t="str" cm="1">
        <f t="array" ref="X65">IFERROR(_xlfn.IFS(Data.[[#This Row],[Supervisor]]="Jonathan Lapoint","Norte",Data.[[#This Row],[Supervisor]]="Jorge Fuentes","Norte"),"Lima")</f>
        <v>Norte</v>
      </c>
      <c r="Y65" s="53" t="str">
        <f>VLOOKUP(Data.[[#This Row],[Supervisor]],Ejecutivos!B:S,17,0)</f>
        <v>70430554</v>
      </c>
      <c r="Z65" s="54" t="str">
        <f>VLOOKUP(Data.[[#This Row],[DNI Supervisor]],Productividad!C:U,8,0)</f>
        <v>jlapointp@lozapay.com.pe</v>
      </c>
      <c r="AA65" s="8"/>
      <c r="AB65" s="8" t="s">
        <v>786</v>
      </c>
      <c r="AC65" s="53" t="str">
        <f>IFERROR(CONCATENATE(Data.[[#This Row],[DNI Ejecutivo]],Data.[[#This Row],[Periodo]]),"")</f>
        <v>0010043646174</v>
      </c>
      <c r="AD65" s="53" t="str">
        <f>IFERROR(VLOOKUP(Data.[[#This Row],[Código LT]],Reportería.[],10,0),"")</f>
        <v/>
      </c>
      <c r="AE65" s="53" t="str">
        <f>IFERROR(VLOOKUP(Data.[[#This Row],[Código LT]],Reportería.[],11,0),"")</f>
        <v/>
      </c>
      <c r="AF65" s="13">
        <f>IFERROR(VLOOKUP(Data.[[#This Row],[Código]],Reportería!A:BV,57,0),0)</f>
        <v>1623</v>
      </c>
      <c r="AG65" s="13"/>
      <c r="AH65" s="13"/>
      <c r="AI65" s="11">
        <f>IF(TEXT(Data.[[#This Row],[Periodo]],"mmm-yy")="may-26",VLOOKUP(Data.[[#This Row],[Código]],Reportería!A:BV,57,0),0)</f>
        <v>0</v>
      </c>
      <c r="AJ65" s="11"/>
      <c r="AK65" s="11"/>
      <c r="AL65" s="11">
        <f>IF(Data.[[#This Row],[Vol M0]]="",0,0)</f>
        <v>0</v>
      </c>
      <c r="AM65" s="11">
        <f>IF(Data.[[#This Row],[Vol M0]]="",0,0)</f>
        <v>0</v>
      </c>
      <c r="AN65" s="11">
        <f>IF(Data.[[#This Row],[Vol M0]]="",0,0)</f>
        <v>0</v>
      </c>
      <c r="AO65" s="11">
        <f>IF(Data.[[#This Row],[Vol M0]]="",0,0)</f>
        <v>0</v>
      </c>
      <c r="AP65" s="11">
        <f>IF(Data.[[#This Row],[Vol M0]]="",0,0)</f>
        <v>0</v>
      </c>
      <c r="AQ65" s="11">
        <f>IF(Data.[[#This Row],[Vol M0]]="",0,0)</f>
        <v>0</v>
      </c>
      <c r="AR65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0.125</v>
      </c>
    </row>
    <row r="66" spans="1:44" ht="14.25" customHeight="1">
      <c r="A66" s="53" t="str">
        <f>CONCATENATE(Data.[[#This Row],[Código]],Data.[[#This Row],[Ruc]])</f>
        <v>595551320613633601</v>
      </c>
      <c r="B66" s="9">
        <v>46174</v>
      </c>
      <c r="C66" s="53" t="str">
        <f>IFERROR(VLOOKUP(Data.[[#This Row],[Código LT]],Reportería.[],71,0),"")</f>
        <v/>
      </c>
      <c r="D66" s="10">
        <f>IFERROR(VLOOKUP(Data.[[#This Row],[Código]],BV!A:C,2,0),"")</f>
        <v>46176</v>
      </c>
      <c r="E66" s="10">
        <f>IFERROR(VLOOKUP(Data.[[#This Row],[Código]],BV!A:C,3,0),"")</f>
        <v>46176</v>
      </c>
      <c r="F66" s="53">
        <v>5955513</v>
      </c>
      <c r="G66" s="8" t="s">
        <v>749</v>
      </c>
      <c r="H66" s="8">
        <v>20613633601</v>
      </c>
      <c r="I66" s="8" t="s">
        <v>743</v>
      </c>
      <c r="J66" s="8" t="s">
        <v>744</v>
      </c>
      <c r="K66" s="53" t="str">
        <f>IF(Data.[[#This Row],[Tipo de Venta]]&lt;&gt;"POS","Atendido",IF(Data.[[#This Row],[Fecha de Instalación]]&lt;&gt;"","Atendido","Ingresado"))</f>
        <v>Atendido</v>
      </c>
      <c r="L66" s="53" t="str">
        <f>Data.[[#This Row],[Estado]]</f>
        <v>Atendido</v>
      </c>
      <c r="M66" s="8" t="s">
        <v>33</v>
      </c>
      <c r="N66" s="53" t="str">
        <f>IFERROR(VLOOKUP(Data.[[#This Row],[Código LT]],Reportería.[],20,0),"")</f>
        <v/>
      </c>
      <c r="O66" s="53" t="str">
        <f>IFERROR(VLOOKUP(Data.[[#This Row],[Código LT]],Reportería.[],5,0),"")</f>
        <v/>
      </c>
      <c r="P66" s="11">
        <f>Data.[[#This Row],[GPV Mensual LT]]/COUNTIFS(H:H,Data.[[#This Row],[Ruc]],B:B,Data.[[#This Row],[Periodo]])</f>
        <v>25000</v>
      </c>
      <c r="Q66" s="11">
        <v>200000</v>
      </c>
      <c r="R66" s="8" t="s">
        <v>271</v>
      </c>
      <c r="S66" s="53" t="str">
        <f>VLOOKUP(Data.[[#This Row],[Ejecutivo]],Productividad!D:N,11,0)</f>
        <v>00100436</v>
      </c>
      <c r="T66" s="54" t="str">
        <f>VLOOKUP(Data.[[#This Row],[DNI Ejecutivo]],Productividad!C:U,8,0)</f>
        <v>Linley.casique@lozapay.com.pe</v>
      </c>
      <c r="U66" s="53" t="str">
        <f>VLOOKUP(Data.[[#This Row],[DNI Ejecutivo]],Productividad!C:U,4,0)</f>
        <v>Hunter</v>
      </c>
      <c r="V66" s="53" t="str">
        <f>IFERROR(VLOOKUP(Data.[[#This Row],[DNI Ejecutivo]],Ejecutivos.[],11,0),"")</f>
        <v>Norte Lapoint</v>
      </c>
      <c r="W66" s="8" t="s">
        <v>98</v>
      </c>
      <c r="X66" s="53" t="str" cm="1">
        <f t="array" ref="X66">IFERROR(_xlfn.IFS(Data.[[#This Row],[Supervisor]]="Jonathan Lapoint","Norte",Data.[[#This Row],[Supervisor]]="Jorge Fuentes","Norte"),"Lima")</f>
        <v>Norte</v>
      </c>
      <c r="Y66" s="53" t="str">
        <f>VLOOKUP(Data.[[#This Row],[Supervisor]],Ejecutivos!B:S,17,0)</f>
        <v>70430554</v>
      </c>
      <c r="Z66" s="54" t="str">
        <f>VLOOKUP(Data.[[#This Row],[DNI Supervisor]],Productividad!C:U,8,0)</f>
        <v>jlapointp@lozapay.com.pe</v>
      </c>
      <c r="AA66" s="8"/>
      <c r="AB66" s="8" t="s">
        <v>786</v>
      </c>
      <c r="AC66" s="53" t="str">
        <f>IFERROR(CONCATENATE(Data.[[#This Row],[DNI Ejecutivo]],Data.[[#This Row],[Periodo]]),"")</f>
        <v>0010043646174</v>
      </c>
      <c r="AD66" s="53" t="str">
        <f>IFERROR(VLOOKUP(Data.[[#This Row],[Código LT]],Reportería.[],10,0),"")</f>
        <v/>
      </c>
      <c r="AE66" s="53" t="str">
        <f>IFERROR(VLOOKUP(Data.[[#This Row],[Código LT]],Reportería.[],11,0),"")</f>
        <v/>
      </c>
      <c r="AF66" s="13">
        <f>IFERROR(VLOOKUP(Data.[[#This Row],[Código]],Reportería!A:BV,57,0),0)</f>
        <v>3254</v>
      </c>
      <c r="AG66" s="13"/>
      <c r="AH66" s="13"/>
      <c r="AI66" s="11">
        <f>IF(TEXT(Data.[[#This Row],[Periodo]],"mmm-yy")="may-26",VLOOKUP(Data.[[#This Row],[Código]],Reportería!A:BV,57,0),0)</f>
        <v>0</v>
      </c>
      <c r="AJ66" s="11"/>
      <c r="AK66" s="11"/>
      <c r="AL66" s="11">
        <f>IF(Data.[[#This Row],[Vol M0]]="",0,0)</f>
        <v>0</v>
      </c>
      <c r="AM66" s="11">
        <f>IF(Data.[[#This Row],[Vol M0]]="",0,0)</f>
        <v>0</v>
      </c>
      <c r="AN66" s="11">
        <f>IF(Data.[[#This Row],[Vol M0]]="",0,0)</f>
        <v>0</v>
      </c>
      <c r="AO66" s="11">
        <f>IF(Data.[[#This Row],[Vol M0]]="",0,0)</f>
        <v>0</v>
      </c>
      <c r="AP66" s="11">
        <f>IF(Data.[[#This Row],[Vol M0]]="",0,0)</f>
        <v>0</v>
      </c>
      <c r="AQ66" s="11">
        <f>IF(Data.[[#This Row],[Vol M0]]="",0,0)</f>
        <v>0</v>
      </c>
      <c r="AR66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0.125</v>
      </c>
    </row>
    <row r="67" spans="1:44" ht="14.25" customHeight="1">
      <c r="A67" s="53" t="str">
        <f>CONCATENATE(Data.[[#This Row],[Código]],Data.[[#This Row],[Ruc]])</f>
        <v>595551620613633601</v>
      </c>
      <c r="B67" s="9">
        <v>46174</v>
      </c>
      <c r="C67" s="53" t="str">
        <f>IFERROR(VLOOKUP(Data.[[#This Row],[Código LT]],Reportería.[],71,0),"")</f>
        <v/>
      </c>
      <c r="D67" s="10">
        <f>IFERROR(VLOOKUP(Data.[[#This Row],[Código]],BV!A:C,2,0),"")</f>
        <v>46176</v>
      </c>
      <c r="E67" s="10">
        <f>IFERROR(VLOOKUP(Data.[[#This Row],[Código]],BV!A:C,3,0),"")</f>
        <v>46176</v>
      </c>
      <c r="F67" s="53">
        <v>5955516</v>
      </c>
      <c r="G67" s="8" t="s">
        <v>750</v>
      </c>
      <c r="H67" s="8">
        <v>20613633601</v>
      </c>
      <c r="I67" s="8" t="s">
        <v>743</v>
      </c>
      <c r="J67" s="8" t="s">
        <v>744</v>
      </c>
      <c r="K67" s="53" t="str">
        <f>IF(Data.[[#This Row],[Tipo de Venta]]&lt;&gt;"POS","Atendido",IF(Data.[[#This Row],[Fecha de Instalación]]&lt;&gt;"","Atendido","Ingresado"))</f>
        <v>Atendido</v>
      </c>
      <c r="L67" s="53" t="str">
        <f>Data.[[#This Row],[Estado]]</f>
        <v>Atendido</v>
      </c>
      <c r="M67" s="8" t="s">
        <v>33</v>
      </c>
      <c r="N67" s="53" t="str">
        <f>IFERROR(VLOOKUP(Data.[[#This Row],[Código LT]],Reportería.[],20,0),"")</f>
        <v/>
      </c>
      <c r="O67" s="53" t="str">
        <f>IFERROR(VLOOKUP(Data.[[#This Row],[Código LT]],Reportería.[],5,0),"")</f>
        <v/>
      </c>
      <c r="P67" s="11">
        <f>Data.[[#This Row],[GPV Mensual LT]]/COUNTIFS(H:H,Data.[[#This Row],[Ruc]],B:B,Data.[[#This Row],[Periodo]])</f>
        <v>25000</v>
      </c>
      <c r="Q67" s="11">
        <v>200000</v>
      </c>
      <c r="R67" s="8" t="s">
        <v>271</v>
      </c>
      <c r="S67" s="53" t="str">
        <f>VLOOKUP(Data.[[#This Row],[Ejecutivo]],Productividad!D:N,11,0)</f>
        <v>00100436</v>
      </c>
      <c r="T67" s="54" t="str">
        <f>VLOOKUP(Data.[[#This Row],[DNI Ejecutivo]],Productividad!C:U,8,0)</f>
        <v>Linley.casique@lozapay.com.pe</v>
      </c>
      <c r="U67" s="53" t="str">
        <f>VLOOKUP(Data.[[#This Row],[DNI Ejecutivo]],Productividad!C:U,4,0)</f>
        <v>Hunter</v>
      </c>
      <c r="V67" s="53" t="str">
        <f>IFERROR(VLOOKUP(Data.[[#This Row],[DNI Ejecutivo]],Ejecutivos.[],11,0),"")</f>
        <v>Norte Lapoint</v>
      </c>
      <c r="W67" s="8" t="s">
        <v>98</v>
      </c>
      <c r="X67" s="53" t="str" cm="1">
        <f t="array" ref="X67">IFERROR(_xlfn.IFS(Data.[[#This Row],[Supervisor]]="Jonathan Lapoint","Norte",Data.[[#This Row],[Supervisor]]="Jorge Fuentes","Norte"),"Lima")</f>
        <v>Norte</v>
      </c>
      <c r="Y67" s="53" t="str">
        <f>VLOOKUP(Data.[[#This Row],[Supervisor]],Ejecutivos!B:S,17,0)</f>
        <v>70430554</v>
      </c>
      <c r="Z67" s="54" t="str">
        <f>VLOOKUP(Data.[[#This Row],[DNI Supervisor]],Productividad!C:U,8,0)</f>
        <v>jlapointp@lozapay.com.pe</v>
      </c>
      <c r="AA67" s="8"/>
      <c r="AB67" s="8" t="s">
        <v>786</v>
      </c>
      <c r="AC67" s="53" t="str">
        <f>IFERROR(CONCATENATE(Data.[[#This Row],[DNI Ejecutivo]],Data.[[#This Row],[Periodo]]),"")</f>
        <v>0010043646174</v>
      </c>
      <c r="AD67" s="53" t="str">
        <f>IFERROR(VLOOKUP(Data.[[#This Row],[Código LT]],Reportería.[],10,0),"")</f>
        <v/>
      </c>
      <c r="AE67" s="53" t="str">
        <f>IFERROR(VLOOKUP(Data.[[#This Row],[Código LT]],Reportería.[],11,0),"")</f>
        <v/>
      </c>
      <c r="AF67" s="13">
        <f>IFERROR(VLOOKUP(Data.[[#This Row],[Código]],Reportería!A:BV,57,0),0)</f>
        <v>4073</v>
      </c>
      <c r="AG67" s="13"/>
      <c r="AH67" s="13"/>
      <c r="AI67" s="11">
        <f>IF(TEXT(Data.[[#This Row],[Periodo]],"mmm-yy")="may-26",VLOOKUP(Data.[[#This Row],[Código]],Reportería!A:BV,57,0),0)</f>
        <v>0</v>
      </c>
      <c r="AJ67" s="11"/>
      <c r="AK67" s="11"/>
      <c r="AL67" s="11">
        <f>IF(Data.[[#This Row],[Vol M0]]="",0,0)</f>
        <v>0</v>
      </c>
      <c r="AM67" s="11">
        <f>IF(Data.[[#This Row],[Vol M0]]="",0,0)</f>
        <v>0</v>
      </c>
      <c r="AN67" s="11">
        <f>IF(Data.[[#This Row],[Vol M0]]="",0,0)</f>
        <v>0</v>
      </c>
      <c r="AO67" s="11">
        <f>IF(Data.[[#This Row],[Vol M0]]="",0,0)</f>
        <v>0</v>
      </c>
      <c r="AP67" s="11">
        <f>IF(Data.[[#This Row],[Vol M0]]="",0,0)</f>
        <v>0</v>
      </c>
      <c r="AQ67" s="11">
        <f>IF(Data.[[#This Row],[Vol M0]]="",0,0)</f>
        <v>0</v>
      </c>
      <c r="AR67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0.125</v>
      </c>
    </row>
    <row r="68" spans="1:44" ht="14.25" customHeight="1">
      <c r="A68" s="53" t="str">
        <f>CONCATENATE(Data.[[#This Row],[Código]],Data.[[#This Row],[Ruc]])</f>
        <v>595551920613633601</v>
      </c>
      <c r="B68" s="9">
        <v>46174</v>
      </c>
      <c r="C68" s="53" t="str">
        <f>IFERROR(VLOOKUP(Data.[[#This Row],[Código LT]],Reportería.[],71,0),"")</f>
        <v/>
      </c>
      <c r="D68" s="10">
        <f>IFERROR(VLOOKUP(Data.[[#This Row],[Código]],BV!A:C,2,0),"")</f>
        <v>46176</v>
      </c>
      <c r="E68" s="10">
        <f>IFERROR(VLOOKUP(Data.[[#This Row],[Código]],BV!A:C,3,0),"")</f>
        <v>46176</v>
      </c>
      <c r="F68" s="53">
        <v>5955519</v>
      </c>
      <c r="G68" s="8" t="s">
        <v>751</v>
      </c>
      <c r="H68" s="8">
        <v>20613633601</v>
      </c>
      <c r="I68" s="8" t="s">
        <v>743</v>
      </c>
      <c r="J68" s="8" t="s">
        <v>744</v>
      </c>
      <c r="K68" s="53" t="str">
        <f>IF(Data.[[#This Row],[Tipo de Venta]]&lt;&gt;"POS","Atendido",IF(Data.[[#This Row],[Fecha de Instalación]]&lt;&gt;"","Atendido","Ingresado"))</f>
        <v>Atendido</v>
      </c>
      <c r="L68" s="53" t="str">
        <f>Data.[[#This Row],[Estado]]</f>
        <v>Atendido</v>
      </c>
      <c r="M68" s="8" t="s">
        <v>33</v>
      </c>
      <c r="N68" s="53" t="str">
        <f>IFERROR(VLOOKUP(Data.[[#This Row],[Código LT]],Reportería.[],20,0),"")</f>
        <v/>
      </c>
      <c r="O68" s="53" t="str">
        <f>IFERROR(VLOOKUP(Data.[[#This Row],[Código LT]],Reportería.[],5,0),"")</f>
        <v/>
      </c>
      <c r="P68" s="11">
        <f>Data.[[#This Row],[GPV Mensual LT]]/COUNTIFS(H:H,Data.[[#This Row],[Ruc]],B:B,Data.[[#This Row],[Periodo]])</f>
        <v>25000</v>
      </c>
      <c r="Q68" s="11">
        <v>200000</v>
      </c>
      <c r="R68" s="8" t="s">
        <v>271</v>
      </c>
      <c r="S68" s="53" t="str">
        <f>VLOOKUP(Data.[[#This Row],[Ejecutivo]],Productividad!D:N,11,0)</f>
        <v>00100436</v>
      </c>
      <c r="T68" s="54" t="str">
        <f>VLOOKUP(Data.[[#This Row],[DNI Ejecutivo]],Productividad!C:U,8,0)</f>
        <v>Linley.casique@lozapay.com.pe</v>
      </c>
      <c r="U68" s="53" t="str">
        <f>VLOOKUP(Data.[[#This Row],[DNI Ejecutivo]],Productividad!C:U,4,0)</f>
        <v>Hunter</v>
      </c>
      <c r="V68" s="53" t="str">
        <f>IFERROR(VLOOKUP(Data.[[#This Row],[DNI Ejecutivo]],Ejecutivos.[],11,0),"")</f>
        <v>Norte Lapoint</v>
      </c>
      <c r="W68" s="8" t="s">
        <v>98</v>
      </c>
      <c r="X68" s="53" t="str" cm="1">
        <f t="array" ref="X68">IFERROR(_xlfn.IFS(Data.[[#This Row],[Supervisor]]="Jonathan Lapoint","Norte",Data.[[#This Row],[Supervisor]]="Jorge Fuentes","Norte"),"Lima")</f>
        <v>Norte</v>
      </c>
      <c r="Y68" s="53" t="str">
        <f>VLOOKUP(Data.[[#This Row],[Supervisor]],Ejecutivos!B:S,17,0)</f>
        <v>70430554</v>
      </c>
      <c r="Z68" s="54" t="str">
        <f>VLOOKUP(Data.[[#This Row],[DNI Supervisor]],Productividad!C:U,8,0)</f>
        <v>jlapointp@lozapay.com.pe</v>
      </c>
      <c r="AA68" s="8"/>
      <c r="AB68" s="8" t="s">
        <v>786</v>
      </c>
      <c r="AC68" s="53" t="str">
        <f>IFERROR(CONCATENATE(Data.[[#This Row],[DNI Ejecutivo]],Data.[[#This Row],[Periodo]]),"")</f>
        <v>0010043646174</v>
      </c>
      <c r="AD68" s="53" t="str">
        <f>IFERROR(VLOOKUP(Data.[[#This Row],[Código LT]],Reportería.[],10,0),"")</f>
        <v/>
      </c>
      <c r="AE68" s="53" t="str">
        <f>IFERROR(VLOOKUP(Data.[[#This Row],[Código LT]],Reportería.[],11,0),"")</f>
        <v/>
      </c>
      <c r="AF68" s="13">
        <f>IFERROR(VLOOKUP(Data.[[#This Row],[Código]],Reportería!A:BV,57,0),0)</f>
        <v>116</v>
      </c>
      <c r="AG68" s="13"/>
      <c r="AH68" s="13"/>
      <c r="AI68" s="11">
        <f>IF(TEXT(Data.[[#This Row],[Periodo]],"mmm-yy")="may-26",VLOOKUP(Data.[[#This Row],[Código]],Reportería!A:BV,57,0),0)</f>
        <v>0</v>
      </c>
      <c r="AJ68" s="11"/>
      <c r="AK68" s="11"/>
      <c r="AL68" s="11">
        <f>IF(Data.[[#This Row],[Vol M0]]="",0,0)</f>
        <v>0</v>
      </c>
      <c r="AM68" s="11">
        <f>IF(Data.[[#This Row],[Vol M0]]="",0,0)</f>
        <v>0</v>
      </c>
      <c r="AN68" s="11">
        <f>IF(Data.[[#This Row],[Vol M0]]="",0,0)</f>
        <v>0</v>
      </c>
      <c r="AO68" s="11">
        <f>IF(Data.[[#This Row],[Vol M0]]="",0,0)</f>
        <v>0</v>
      </c>
      <c r="AP68" s="11">
        <f>IF(Data.[[#This Row],[Vol M0]]="",0,0)</f>
        <v>0</v>
      </c>
      <c r="AQ68" s="11">
        <f>IF(Data.[[#This Row],[Vol M0]]="",0,0)</f>
        <v>0</v>
      </c>
      <c r="AR68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0.125</v>
      </c>
    </row>
    <row r="69" spans="1:44" ht="14.25" customHeight="1">
      <c r="A69" s="53" t="str">
        <f>CONCATENATE(Data.[[#This Row],[Código]],Data.[[#This Row],[Ruc]])</f>
        <v>595540520612334499</v>
      </c>
      <c r="B69" s="9">
        <v>46174</v>
      </c>
      <c r="C69" s="53" t="str">
        <f>IFERROR(VLOOKUP(Data.[[#This Row],[Código LT]],Reportería.[],71,0),"")</f>
        <v/>
      </c>
      <c r="D69" s="10">
        <f>IFERROR(VLOOKUP(Data.[[#This Row],[Código]],BV!A:C,2,0),"")</f>
        <v>46176</v>
      </c>
      <c r="E69" s="10">
        <f>IFERROR(VLOOKUP(Data.[[#This Row],[Código]],BV!A:C,3,0),"")</f>
        <v>46176</v>
      </c>
      <c r="F69" s="53">
        <v>5955405</v>
      </c>
      <c r="G69" s="8" t="s">
        <v>752</v>
      </c>
      <c r="H69" s="8">
        <v>20612334499</v>
      </c>
      <c r="I69" s="8" t="s">
        <v>753</v>
      </c>
      <c r="J69" s="8" t="s">
        <v>754</v>
      </c>
      <c r="K69" s="53" t="str">
        <f>IF(Data.[[#This Row],[Tipo de Venta]]&lt;&gt;"POS","Atendido",IF(Data.[[#This Row],[Fecha de Instalación]]&lt;&gt;"","Atendido","Ingresado"))</f>
        <v>Atendido</v>
      </c>
      <c r="L69" s="53" t="str">
        <f>Data.[[#This Row],[Estado]]</f>
        <v>Atendido</v>
      </c>
      <c r="M69" s="8" t="s">
        <v>33</v>
      </c>
      <c r="N69" s="53" t="str">
        <f>IFERROR(VLOOKUP(Data.[[#This Row],[Código LT]],Reportería.[],20,0),"")</f>
        <v/>
      </c>
      <c r="O69" s="53" t="str">
        <f>IFERROR(VLOOKUP(Data.[[#This Row],[Código LT]],Reportería.[],5,0),"")</f>
        <v/>
      </c>
      <c r="P69" s="11">
        <f>Data.[[#This Row],[GPV Mensual LT]]/COUNTIFS(H:H,Data.[[#This Row],[Ruc]],B:B,Data.[[#This Row],[Periodo]])</f>
        <v>10000</v>
      </c>
      <c r="Q69" s="11">
        <v>30000</v>
      </c>
      <c r="R69" s="8" t="s">
        <v>284</v>
      </c>
      <c r="S69" s="53" t="str">
        <f>VLOOKUP(Data.[[#This Row],[Ejecutivo]],Productividad!D:N,11,0)</f>
        <v>71870286</v>
      </c>
      <c r="T69" s="54" t="str">
        <f>VLOOKUP(Data.[[#This Row],[DNI Ejecutivo]],Productividad!C:U,8,0)</f>
        <v>william.cortez@lozapay.com.pe</v>
      </c>
      <c r="U69" s="53" t="str">
        <f>VLOOKUP(Data.[[#This Row],[DNI Ejecutivo]],Productividad!C:U,4,0)</f>
        <v>Senior</v>
      </c>
      <c r="V69" s="53" t="str">
        <f>IFERROR(VLOOKUP(Data.[[#This Row],[DNI Ejecutivo]],Ejecutivos.[],11,0),"")</f>
        <v>Norte Lapoint</v>
      </c>
      <c r="W69" s="8" t="s">
        <v>98</v>
      </c>
      <c r="X69" s="53" t="str" cm="1">
        <f t="array" ref="X69">IFERROR(_xlfn.IFS(Data.[[#This Row],[Supervisor]]="Jonathan Lapoint","Norte",Data.[[#This Row],[Supervisor]]="Jorge Fuentes","Norte"),"Lima")</f>
        <v>Norte</v>
      </c>
      <c r="Y69" s="53" t="str">
        <f>VLOOKUP(Data.[[#This Row],[Supervisor]],Ejecutivos!B:S,17,0)</f>
        <v>70430554</v>
      </c>
      <c r="Z69" s="54" t="str">
        <f>VLOOKUP(Data.[[#This Row],[DNI Supervisor]],Productividad!C:U,8,0)</f>
        <v>jlapointp@lozapay.com.pe</v>
      </c>
      <c r="AA69" s="8"/>
      <c r="AB69" s="8" t="s">
        <v>786</v>
      </c>
      <c r="AC69" s="53" t="str">
        <f>IFERROR(CONCATENATE(Data.[[#This Row],[DNI Ejecutivo]],Data.[[#This Row],[Periodo]]),"")</f>
        <v>7187028646174</v>
      </c>
      <c r="AD69" s="53" t="str">
        <f>IFERROR(VLOOKUP(Data.[[#This Row],[Código LT]],Reportería.[],10,0),"")</f>
        <v/>
      </c>
      <c r="AE69" s="53" t="str">
        <f>IFERROR(VLOOKUP(Data.[[#This Row],[Código LT]],Reportería.[],11,0),"")</f>
        <v/>
      </c>
      <c r="AF69" s="13">
        <f>IFERROR(VLOOKUP(Data.[[#This Row],[Código]],Reportería!A:BV,57,0),0)</f>
        <v>1274</v>
      </c>
      <c r="AG69" s="13"/>
      <c r="AH69" s="13"/>
      <c r="AI69" s="11">
        <f>IF(TEXT(Data.[[#This Row],[Periodo]],"mmm-yy")="may-26",VLOOKUP(Data.[[#This Row],[Código]],Reportería!A:BV,57,0),0)</f>
        <v>0</v>
      </c>
      <c r="AJ69" s="11"/>
      <c r="AK69" s="11"/>
      <c r="AL69" s="11">
        <f>IF(Data.[[#This Row],[Vol M0]]="",0,0)</f>
        <v>0</v>
      </c>
      <c r="AM69" s="11">
        <f>IF(Data.[[#This Row],[Vol M0]]="",0,0)</f>
        <v>0</v>
      </c>
      <c r="AN69" s="11">
        <f>IF(Data.[[#This Row],[Vol M0]]="",0,0)</f>
        <v>0</v>
      </c>
      <c r="AO69" s="11">
        <f>IF(Data.[[#This Row],[Vol M0]]="",0,0)</f>
        <v>0</v>
      </c>
      <c r="AP69" s="11">
        <f>IF(Data.[[#This Row],[Vol M0]]="",0,0)</f>
        <v>0</v>
      </c>
      <c r="AQ69" s="11">
        <f>IF(Data.[[#This Row],[Vol M0]]="",0,0)</f>
        <v>0</v>
      </c>
      <c r="AR69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0.33333333333333331</v>
      </c>
    </row>
    <row r="70" spans="1:44" ht="14.25" customHeight="1">
      <c r="A70" s="53" t="str">
        <f>CONCATENATE(Data.[[#This Row],[Código]],Data.[[#This Row],[Ruc]])</f>
        <v>595568410078853111</v>
      </c>
      <c r="B70" s="9">
        <v>46174</v>
      </c>
      <c r="C70" s="53" t="str">
        <f>IFERROR(VLOOKUP(Data.[[#This Row],[Código LT]],Reportería.[],71,0),"")</f>
        <v/>
      </c>
      <c r="D70" s="10">
        <f>IFERROR(VLOOKUP(Data.[[#This Row],[Código]],BV!A:C,2,0),"")</f>
        <v>46177</v>
      </c>
      <c r="E70" s="10">
        <f>IFERROR(VLOOKUP(Data.[[#This Row],[Código]],BV!A:C,3,0),"")</f>
        <v>46177</v>
      </c>
      <c r="F70" s="53">
        <v>5955684</v>
      </c>
      <c r="G70" s="8" t="s">
        <v>755</v>
      </c>
      <c r="H70" s="8">
        <v>10078853111</v>
      </c>
      <c r="I70" s="8" t="s">
        <v>756</v>
      </c>
      <c r="J70" s="8" t="s">
        <v>757</v>
      </c>
      <c r="K70" s="53" t="str">
        <f>IF(Data.[[#This Row],[Tipo de Venta]]&lt;&gt;"POS","Atendido",IF(Data.[[#This Row],[Fecha de Instalación]]&lt;&gt;"","Atendido","Ingresado"))</f>
        <v>Atendido</v>
      </c>
      <c r="L70" s="53" t="str">
        <f>Data.[[#This Row],[Estado]]</f>
        <v>Atendido</v>
      </c>
      <c r="M70" s="8" t="s">
        <v>33</v>
      </c>
      <c r="N70" s="53" t="str">
        <f>IFERROR(VLOOKUP(Data.[[#This Row],[Código LT]],Reportería.[],20,0),"")</f>
        <v/>
      </c>
      <c r="O70" s="53" t="str">
        <f>IFERROR(VLOOKUP(Data.[[#This Row],[Código LT]],Reportería.[],5,0),"")</f>
        <v/>
      </c>
      <c r="P70" s="11">
        <f>Data.[[#This Row],[GPV Mensual LT]]/COUNTIFS(H:H,Data.[[#This Row],[Ruc]],B:B,Data.[[#This Row],[Periodo]])</f>
        <v>125000</v>
      </c>
      <c r="Q70" s="11">
        <v>250000</v>
      </c>
      <c r="R70" s="8" t="s">
        <v>52</v>
      </c>
      <c r="S70" s="53" t="str">
        <f>VLOOKUP(Data.[[#This Row],[Ejecutivo]],Productividad!D:N,11,0)</f>
        <v>47045287</v>
      </c>
      <c r="T70" s="54" t="str">
        <f>VLOOKUP(Data.[[#This Row],[DNI Ejecutivo]],Productividad!C:U,8,0)</f>
        <v>asifuentesu@lozapay.com.pe</v>
      </c>
      <c r="U70" s="53" t="str">
        <f>VLOOKUP(Data.[[#This Row],[DNI Ejecutivo]],Productividad!C:U,4,0)</f>
        <v>Elite</v>
      </c>
      <c r="V70" s="53" t="str">
        <f>IFERROR(VLOOKUP(Data.[[#This Row],[DNI Ejecutivo]],Ejecutivos.[],11,0),"")</f>
        <v>Norte Fuentes</v>
      </c>
      <c r="W70" s="8" t="s">
        <v>42</v>
      </c>
      <c r="X70" s="53" t="str" cm="1">
        <f t="array" ref="X70">IFERROR(_xlfn.IFS(Data.[[#This Row],[Supervisor]]="Jonathan Lapoint","Norte",Data.[[#This Row],[Supervisor]]="Jorge Fuentes","Norte"),"Lima")</f>
        <v>Norte</v>
      </c>
      <c r="Y70" s="53" t="str">
        <f>VLOOKUP(Data.[[#This Row],[Supervisor]],Ejecutivos!B:S,17,0)</f>
        <v>70059865</v>
      </c>
      <c r="Z70" s="54" t="str">
        <f>VLOOKUP(Data.[[#This Row],[DNI Supervisor]],Productividad!C:U,8,0)</f>
        <v>jfuentes@lozapay.com.pe</v>
      </c>
      <c r="AA70" s="8"/>
      <c r="AB70" s="8" t="s">
        <v>295</v>
      </c>
      <c r="AC70" s="53" t="str">
        <f>IFERROR(CONCATENATE(Data.[[#This Row],[DNI Ejecutivo]],Data.[[#This Row],[Periodo]]),"")</f>
        <v>4704528746174</v>
      </c>
      <c r="AD70" s="53" t="str">
        <f>IFERROR(VLOOKUP(Data.[[#This Row],[Código LT]],Reportería.[],10,0),"")</f>
        <v/>
      </c>
      <c r="AE70" s="53" t="str">
        <f>IFERROR(VLOOKUP(Data.[[#This Row],[Código LT]],Reportería.[],11,0),"")</f>
        <v/>
      </c>
      <c r="AF70" s="13">
        <f>IFERROR(VLOOKUP(Data.[[#This Row],[Código]],Reportería!A:BV,57,0),0)</f>
        <v>3579.01</v>
      </c>
      <c r="AG70" s="13"/>
      <c r="AH70" s="13"/>
      <c r="AI70" s="11">
        <f>IF(TEXT(Data.[[#This Row],[Periodo]],"mmm-yy")="may-26",VLOOKUP(Data.[[#This Row],[Código]],Reportería!A:BV,57,0),0)</f>
        <v>0</v>
      </c>
      <c r="AJ70" s="11"/>
      <c r="AK70" s="11"/>
      <c r="AL70" s="11">
        <f>IF(Data.[[#This Row],[Vol M0]]="",0,0)</f>
        <v>0</v>
      </c>
      <c r="AM70" s="11">
        <f>IF(Data.[[#This Row],[Vol M0]]="",0,0)</f>
        <v>0</v>
      </c>
      <c r="AN70" s="11">
        <f>IF(Data.[[#This Row],[Vol M0]]="",0,0)</f>
        <v>0</v>
      </c>
      <c r="AO70" s="11">
        <f>IF(Data.[[#This Row],[Vol M0]]="",0,0)</f>
        <v>0</v>
      </c>
      <c r="AP70" s="11">
        <f>IF(Data.[[#This Row],[Vol M0]]="",0,0)</f>
        <v>0</v>
      </c>
      <c r="AQ70" s="11">
        <f>IF(Data.[[#This Row],[Vol M0]]="",0,0)</f>
        <v>0</v>
      </c>
      <c r="AR70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71" spans="1:44" ht="14.25" customHeight="1">
      <c r="A71" s="53" t="str">
        <f>CONCATENATE(Data.[[#This Row],[Código]],Data.[[#This Row],[Ruc]])</f>
        <v>595580710078853111</v>
      </c>
      <c r="B71" s="9">
        <v>46174</v>
      </c>
      <c r="C71" s="53" t="str">
        <f>IFERROR(VLOOKUP(Data.[[#This Row],[Código LT]],Reportería.[],71,0),"")</f>
        <v/>
      </c>
      <c r="D71" s="10">
        <f>IFERROR(VLOOKUP(Data.[[#This Row],[Código]],BV!A:C,2,0),"")</f>
        <v>46177</v>
      </c>
      <c r="E71" s="10">
        <f>IFERROR(VLOOKUP(Data.[[#This Row],[Código]],BV!A:C,3,0),"")</f>
        <v>46177</v>
      </c>
      <c r="F71" s="53">
        <v>5955807</v>
      </c>
      <c r="G71" s="8" t="s">
        <v>758</v>
      </c>
      <c r="H71" s="8">
        <v>10078853111</v>
      </c>
      <c r="I71" s="8" t="s">
        <v>756</v>
      </c>
      <c r="J71" s="8" t="s">
        <v>757</v>
      </c>
      <c r="K71" s="53" t="str">
        <f>IF(Data.[[#This Row],[Tipo de Venta]]&lt;&gt;"POS","Atendido",IF(Data.[[#This Row],[Fecha de Instalación]]&lt;&gt;"","Atendido","Ingresado"))</f>
        <v>Atendido</v>
      </c>
      <c r="L71" s="53" t="str">
        <f>Data.[[#This Row],[Estado]]</f>
        <v>Atendido</v>
      </c>
      <c r="M71" s="8" t="s">
        <v>33</v>
      </c>
      <c r="N71" s="53" t="str">
        <f>IFERROR(VLOOKUP(Data.[[#This Row],[Código LT]],Reportería.[],20,0),"")</f>
        <v/>
      </c>
      <c r="O71" s="53" t="str">
        <f>IFERROR(VLOOKUP(Data.[[#This Row],[Código LT]],Reportería.[],5,0),"")</f>
        <v/>
      </c>
      <c r="P71" s="11">
        <f>Data.[[#This Row],[GPV Mensual LT]]/COUNTIFS(H:H,Data.[[#This Row],[Ruc]],B:B,Data.[[#This Row],[Periodo]])</f>
        <v>125000</v>
      </c>
      <c r="Q71" s="11">
        <v>250000</v>
      </c>
      <c r="R71" s="8" t="s">
        <v>52</v>
      </c>
      <c r="S71" s="53" t="str">
        <f>VLOOKUP(Data.[[#This Row],[Ejecutivo]],Productividad!D:N,11,0)</f>
        <v>47045287</v>
      </c>
      <c r="T71" s="54" t="str">
        <f>VLOOKUP(Data.[[#This Row],[DNI Ejecutivo]],Productividad!C:U,8,0)</f>
        <v>asifuentesu@lozapay.com.pe</v>
      </c>
      <c r="U71" s="53" t="str">
        <f>VLOOKUP(Data.[[#This Row],[DNI Ejecutivo]],Productividad!C:U,4,0)</f>
        <v>Elite</v>
      </c>
      <c r="V71" s="53" t="str">
        <f>IFERROR(VLOOKUP(Data.[[#This Row],[DNI Ejecutivo]],Ejecutivos.[],11,0),"")</f>
        <v>Norte Fuentes</v>
      </c>
      <c r="W71" s="8" t="s">
        <v>42</v>
      </c>
      <c r="X71" s="53" t="str" cm="1">
        <f t="array" ref="X71">IFERROR(_xlfn.IFS(Data.[[#This Row],[Supervisor]]="Jonathan Lapoint","Norte",Data.[[#This Row],[Supervisor]]="Jorge Fuentes","Norte"),"Lima")</f>
        <v>Norte</v>
      </c>
      <c r="Y71" s="53" t="str">
        <f>VLOOKUP(Data.[[#This Row],[Supervisor]],Ejecutivos!B:S,17,0)</f>
        <v>70059865</v>
      </c>
      <c r="Z71" s="54" t="str">
        <f>VLOOKUP(Data.[[#This Row],[DNI Supervisor]],Productividad!C:U,8,0)</f>
        <v>jfuentes@lozapay.com.pe</v>
      </c>
      <c r="AA71" s="8"/>
      <c r="AB71" s="8" t="s">
        <v>295</v>
      </c>
      <c r="AC71" s="53" t="str">
        <f>IFERROR(CONCATENATE(Data.[[#This Row],[DNI Ejecutivo]],Data.[[#This Row],[Periodo]]),"")</f>
        <v>4704528746174</v>
      </c>
      <c r="AD71" s="53" t="str">
        <f>IFERROR(VLOOKUP(Data.[[#This Row],[Código LT]],Reportería.[],10,0),"")</f>
        <v/>
      </c>
      <c r="AE71" s="53" t="str">
        <f>IFERROR(VLOOKUP(Data.[[#This Row],[Código LT]],Reportería.[],11,0),"")</f>
        <v/>
      </c>
      <c r="AF71" s="13">
        <f>IFERROR(VLOOKUP(Data.[[#This Row],[Código]],Reportería!A:BV,57,0),0)</f>
        <v>10714.1</v>
      </c>
      <c r="AG71" s="13"/>
      <c r="AH71" s="13"/>
      <c r="AI71" s="11">
        <f>IF(TEXT(Data.[[#This Row],[Periodo]],"mmm-yy")="may-26",VLOOKUP(Data.[[#This Row],[Código]],Reportería!A:BV,57,0),0)</f>
        <v>0</v>
      </c>
      <c r="AJ71" s="11"/>
      <c r="AK71" s="11"/>
      <c r="AL71" s="11">
        <f>IF(Data.[[#This Row],[Vol M0]]="",0,0)</f>
        <v>0</v>
      </c>
      <c r="AM71" s="11">
        <f>IF(Data.[[#This Row],[Vol M0]]="",0,0)</f>
        <v>0</v>
      </c>
      <c r="AN71" s="11">
        <f>IF(Data.[[#This Row],[Vol M0]]="",0,0)</f>
        <v>0</v>
      </c>
      <c r="AO71" s="11">
        <f>IF(Data.[[#This Row],[Vol M0]]="",0,0)</f>
        <v>0</v>
      </c>
      <c r="AP71" s="11">
        <f>IF(Data.[[#This Row],[Vol M0]]="",0,0)</f>
        <v>0</v>
      </c>
      <c r="AQ71" s="11">
        <f>IF(Data.[[#This Row],[Vol M0]]="",0,0)</f>
        <v>0</v>
      </c>
      <c r="AR71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72" spans="1:44" ht="14.25" customHeight="1">
      <c r="A72" s="53" t="str">
        <f>CONCATENATE(Data.[[#This Row],[Código]],Data.[[#This Row],[Ruc]])</f>
        <v>105885220613698052</v>
      </c>
      <c r="B72" s="9">
        <v>46174</v>
      </c>
      <c r="C72" s="53" t="str">
        <f>IFERROR(VLOOKUP(Data.[[#This Row],[Código LT]],Reportería.[],71,0),"")</f>
        <v/>
      </c>
      <c r="D72" s="10">
        <f>IFERROR(VLOOKUP(Data.[[#This Row],[Código]],BV!A:C,2,0),"")</f>
        <v>46177</v>
      </c>
      <c r="E72" s="10">
        <f>IFERROR(VLOOKUP(Data.[[#This Row],[Código]],BV!A:C,3,0),"")</f>
        <v>0</v>
      </c>
      <c r="F72" s="53">
        <v>1058852</v>
      </c>
      <c r="G72" s="8"/>
      <c r="H72" s="8">
        <v>20613698052</v>
      </c>
      <c r="I72" s="8" t="s">
        <v>759</v>
      </c>
      <c r="J72" s="8" t="s">
        <v>759</v>
      </c>
      <c r="K72" s="53" t="str">
        <f>IF(Data.[[#This Row],[Tipo de Venta]]&lt;&gt;"POS","Atendido",IF(Data.[[#This Row],[Fecha de Instalación]]&lt;&gt;"","Atendido","Ingresado"))</f>
        <v>Atendido</v>
      </c>
      <c r="L72" s="53" t="str">
        <f>Data.[[#This Row],[Estado]]</f>
        <v>Atendido</v>
      </c>
      <c r="M72" s="8" t="s">
        <v>33</v>
      </c>
      <c r="N72" s="53" t="str">
        <f>IFERROR(VLOOKUP(Data.[[#This Row],[Código LT]],Reportería.[],20,0),"")</f>
        <v/>
      </c>
      <c r="O72" s="53" t="str">
        <f>IFERROR(VLOOKUP(Data.[[#This Row],[Código LT]],Reportería.[],5,0),"")</f>
        <v/>
      </c>
      <c r="P72" s="11">
        <f>Data.[[#This Row],[GPV Mensual LT]]/COUNTIFS(H:H,Data.[[#This Row],[Ruc]],B:B,Data.[[#This Row],[Periodo]])</f>
        <v>250000</v>
      </c>
      <c r="Q72" s="11">
        <v>250000</v>
      </c>
      <c r="R72" s="8" t="s">
        <v>80</v>
      </c>
      <c r="S72" s="53" t="str">
        <f>VLOOKUP(Data.[[#This Row],[Ejecutivo]],Productividad!D:N,11,0)</f>
        <v>46998250</v>
      </c>
      <c r="T72" s="54" t="str">
        <f>VLOOKUP(Data.[[#This Row],[DNI Ejecutivo]],Productividad!C:U,8,0)</f>
        <v>mgodoyc@lozapay.com.pe</v>
      </c>
      <c r="U72" s="53" t="str">
        <f>VLOOKUP(Data.[[#This Row],[DNI Ejecutivo]],Productividad!C:U,4,0)</f>
        <v>Elite</v>
      </c>
      <c r="V72" s="53" t="str">
        <f>IFERROR(VLOOKUP(Data.[[#This Row],[DNI Ejecutivo]],Ejecutivos.[],11,0),"")</f>
        <v>Lima Palomino</v>
      </c>
      <c r="W72" s="8" t="s">
        <v>35</v>
      </c>
      <c r="X72" s="53" t="str" cm="1">
        <f t="array" ref="X72">IFERROR(_xlfn.IFS(Data.[[#This Row],[Supervisor]]="Jonathan Lapoint","Norte",Data.[[#This Row],[Supervisor]]="Jorge Fuentes","Norte"),"Lima")</f>
        <v>Lima</v>
      </c>
      <c r="Y72" s="53" t="str">
        <f>VLOOKUP(Data.[[#This Row],[Supervisor]],Ejecutivos!B:S,17,0)</f>
        <v>41718975</v>
      </c>
      <c r="Z72" s="54" t="str">
        <f>VLOOKUP(Data.[[#This Row],[DNI Supervisor]],Productividad!C:U,8,0)</f>
        <v>carlos.palomino@lozapay.com.pe</v>
      </c>
      <c r="AA72" s="8"/>
      <c r="AB72" s="8" t="s">
        <v>81</v>
      </c>
      <c r="AC72" s="53" t="str">
        <f>IFERROR(CONCATENATE(Data.[[#This Row],[DNI Ejecutivo]],Data.[[#This Row],[Periodo]]),"")</f>
        <v>4699825046174</v>
      </c>
      <c r="AD72" s="53" t="str">
        <f>IFERROR(VLOOKUP(Data.[[#This Row],[Código LT]],Reportería.[],10,0),"")</f>
        <v/>
      </c>
      <c r="AE72" s="53" t="str">
        <f>IFERROR(VLOOKUP(Data.[[#This Row],[Código LT]],Reportería.[],11,0),"")</f>
        <v/>
      </c>
      <c r="AF72" s="13">
        <f>IFERROR(VLOOKUP(Data.[[#This Row],[Código]],Reportería!A:BV,57,0),0)</f>
        <v>4270.1000000000004</v>
      </c>
      <c r="AG72" s="13"/>
      <c r="AH72" s="13"/>
      <c r="AI72" s="11">
        <f>IF(TEXT(Data.[[#This Row],[Periodo]],"mmm-yy")="may-26",VLOOKUP(Data.[[#This Row],[Código]],Reportería!A:BV,57,0),0)</f>
        <v>0</v>
      </c>
      <c r="AJ72" s="11"/>
      <c r="AK72" s="11"/>
      <c r="AL72" s="11">
        <f>IF(Data.[[#This Row],[Vol M0]]="",0,0)</f>
        <v>0</v>
      </c>
      <c r="AM72" s="11">
        <f>IF(Data.[[#This Row],[Vol M0]]="",0,0)</f>
        <v>0</v>
      </c>
      <c r="AN72" s="11">
        <f>IF(Data.[[#This Row],[Vol M0]]="",0,0)</f>
        <v>0</v>
      </c>
      <c r="AO72" s="11">
        <f>IF(Data.[[#This Row],[Vol M0]]="",0,0)</f>
        <v>0</v>
      </c>
      <c r="AP72" s="11">
        <f>IF(Data.[[#This Row],[Vol M0]]="",0,0)</f>
        <v>0</v>
      </c>
      <c r="AQ72" s="11">
        <f>IF(Data.[[#This Row],[Vol M0]]="",0,0)</f>
        <v>0</v>
      </c>
      <c r="AR72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73" spans="1:44" ht="14.25" customHeight="1">
      <c r="A73" s="53" t="str">
        <f>CONCATENATE(Data.[[#This Row],[Código]],Data.[[#This Row],[Ruc]])</f>
        <v>105884220608926888</v>
      </c>
      <c r="B73" s="9">
        <v>46174</v>
      </c>
      <c r="C73" s="53" t="str">
        <f>IFERROR(VLOOKUP(Data.[[#This Row],[Código LT]],Reportería.[],71,0),"")</f>
        <v/>
      </c>
      <c r="D73" s="10">
        <f>IFERROR(VLOOKUP(Data.[[#This Row],[Código]],BV!A:C,2,0),"")</f>
        <v>46177</v>
      </c>
      <c r="E73" s="10">
        <f>IFERROR(VLOOKUP(Data.[[#This Row],[Código]],BV!A:C,3,0),"")</f>
        <v>0</v>
      </c>
      <c r="F73" s="53">
        <v>1058842</v>
      </c>
      <c r="G73" s="8"/>
      <c r="H73" s="8">
        <v>20608926888</v>
      </c>
      <c r="I73" s="8" t="s">
        <v>760</v>
      </c>
      <c r="J73" s="8" t="s">
        <v>760</v>
      </c>
      <c r="K73" s="53" t="str">
        <f>IF(Data.[[#This Row],[Tipo de Venta]]&lt;&gt;"POS","Atendido",IF(Data.[[#This Row],[Fecha de Instalación]]&lt;&gt;"","Atendido","Ingresado"))</f>
        <v>Atendido</v>
      </c>
      <c r="L73" s="53" t="str">
        <f>Data.[[#This Row],[Estado]]</f>
        <v>Atendido</v>
      </c>
      <c r="M73" s="8" t="s">
        <v>33</v>
      </c>
      <c r="N73" s="53" t="str">
        <f>IFERROR(VLOOKUP(Data.[[#This Row],[Código LT]],Reportería.[],20,0),"")</f>
        <v/>
      </c>
      <c r="O73" s="53" t="str">
        <f>IFERROR(VLOOKUP(Data.[[#This Row],[Código LT]],Reportería.[],5,0),"")</f>
        <v/>
      </c>
      <c r="P73" s="11">
        <f>Data.[[#This Row],[GPV Mensual LT]]/COUNTIFS(H:H,Data.[[#This Row],[Ruc]],B:B,Data.[[#This Row],[Periodo]])</f>
        <v>250000</v>
      </c>
      <c r="Q73" s="11">
        <v>250000</v>
      </c>
      <c r="R73" s="8" t="s">
        <v>80</v>
      </c>
      <c r="S73" s="53" t="str">
        <f>VLOOKUP(Data.[[#This Row],[Ejecutivo]],Productividad!D:N,11,0)</f>
        <v>46998250</v>
      </c>
      <c r="T73" s="54" t="str">
        <f>VLOOKUP(Data.[[#This Row],[DNI Ejecutivo]],Productividad!C:U,8,0)</f>
        <v>mgodoyc@lozapay.com.pe</v>
      </c>
      <c r="U73" s="53" t="str">
        <f>VLOOKUP(Data.[[#This Row],[DNI Ejecutivo]],Productividad!C:U,4,0)</f>
        <v>Elite</v>
      </c>
      <c r="V73" s="53" t="str">
        <f>IFERROR(VLOOKUP(Data.[[#This Row],[DNI Ejecutivo]],Ejecutivos.[],11,0),"")</f>
        <v>Lima Palomino</v>
      </c>
      <c r="W73" s="8" t="s">
        <v>35</v>
      </c>
      <c r="X73" s="53" t="str" cm="1">
        <f t="array" ref="X73">IFERROR(_xlfn.IFS(Data.[[#This Row],[Supervisor]]="Jonathan Lapoint","Norte",Data.[[#This Row],[Supervisor]]="Jorge Fuentes","Norte"),"Lima")</f>
        <v>Lima</v>
      </c>
      <c r="Y73" s="53" t="str">
        <f>VLOOKUP(Data.[[#This Row],[Supervisor]],Ejecutivos!B:S,17,0)</f>
        <v>41718975</v>
      </c>
      <c r="Z73" s="54" t="str">
        <f>VLOOKUP(Data.[[#This Row],[DNI Supervisor]],Productividad!C:U,8,0)</f>
        <v>carlos.palomino@lozapay.com.pe</v>
      </c>
      <c r="AA73" s="8"/>
      <c r="AB73" s="8" t="s">
        <v>81</v>
      </c>
      <c r="AC73" s="53" t="str">
        <f>IFERROR(CONCATENATE(Data.[[#This Row],[DNI Ejecutivo]],Data.[[#This Row],[Periodo]]),"")</f>
        <v>4699825046174</v>
      </c>
      <c r="AD73" s="53" t="str">
        <f>IFERROR(VLOOKUP(Data.[[#This Row],[Código LT]],Reportería.[],10,0),"")</f>
        <v/>
      </c>
      <c r="AE73" s="53" t="str">
        <f>IFERROR(VLOOKUP(Data.[[#This Row],[Código LT]],Reportería.[],11,0),"")</f>
        <v/>
      </c>
      <c r="AF73" s="13">
        <f>IFERROR(VLOOKUP(Data.[[#This Row],[Código]],Reportería!A:BV,57,0),0)</f>
        <v>90184</v>
      </c>
      <c r="AG73" s="13"/>
      <c r="AH73" s="13"/>
      <c r="AI73" s="11">
        <f>IF(TEXT(Data.[[#This Row],[Periodo]],"mmm-yy")="may-26",VLOOKUP(Data.[[#This Row],[Código]],Reportería!A:BV,57,0),0)</f>
        <v>0</v>
      </c>
      <c r="AJ73" s="11"/>
      <c r="AK73" s="11"/>
      <c r="AL73" s="11">
        <f>IF(Data.[[#This Row],[Vol M0]]="",0,0)</f>
        <v>0</v>
      </c>
      <c r="AM73" s="11">
        <f>IF(Data.[[#This Row],[Vol M0]]="",0,0)</f>
        <v>0</v>
      </c>
      <c r="AN73" s="11">
        <f>IF(Data.[[#This Row],[Vol M0]]="",0,0)</f>
        <v>0</v>
      </c>
      <c r="AO73" s="11">
        <f>IF(Data.[[#This Row],[Vol M0]]="",0,0)</f>
        <v>0</v>
      </c>
      <c r="AP73" s="11">
        <f>IF(Data.[[#This Row],[Vol M0]]="",0,0)</f>
        <v>0</v>
      </c>
      <c r="AQ73" s="11">
        <f>IF(Data.[[#This Row],[Vol M0]]="",0,0)</f>
        <v>0</v>
      </c>
      <c r="AR73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1</v>
      </c>
    </row>
    <row r="74" spans="1:44" ht="14.25" customHeight="1">
      <c r="A74" s="53" t="str">
        <f>CONCATENATE(Data.[[#This Row],[Código]],Data.[[#This Row],[Ruc]])</f>
        <v>105897420612784796</v>
      </c>
      <c r="B74" s="9">
        <v>46174</v>
      </c>
      <c r="C74" s="53" t="str">
        <f>IFERROR(VLOOKUP(Data.[[#This Row],[Código LT]],Reportería.[],71,0),"")</f>
        <v/>
      </c>
      <c r="D74" s="10">
        <f>IFERROR(VLOOKUP(Data.[[#This Row],[Código]],BV!A:C,2,0),"")</f>
        <v>46177</v>
      </c>
      <c r="E74" s="10">
        <f>IFERROR(VLOOKUP(Data.[[#This Row],[Código]],BV!A:C,3,0),"")</f>
        <v>46185</v>
      </c>
      <c r="F74" s="53">
        <v>1058974</v>
      </c>
      <c r="G74" s="8"/>
      <c r="H74" s="8">
        <v>20612784796</v>
      </c>
      <c r="I74" s="8" t="s">
        <v>761</v>
      </c>
      <c r="J74" s="8" t="s">
        <v>761</v>
      </c>
      <c r="K74" s="53" t="str">
        <f>IF(Data.[[#This Row],[Tipo de Venta]]&lt;&gt;"POS","Atendido",IF(Data.[[#This Row],[Fecha de Instalación]]&lt;&gt;"","Atendido","Ingresado"))</f>
        <v>Atendido</v>
      </c>
      <c r="L74" s="53" t="str">
        <f>Data.[[#This Row],[Estado]]</f>
        <v>Atendido</v>
      </c>
      <c r="M74" s="8" t="s">
        <v>33</v>
      </c>
      <c r="N74" s="53" t="str">
        <f>IFERROR(VLOOKUP(Data.[[#This Row],[Código LT]],Reportería.[],20,0),"")</f>
        <v/>
      </c>
      <c r="O74" s="53" t="str">
        <f>IFERROR(VLOOKUP(Data.[[#This Row],[Código LT]],Reportería.[],5,0),"")</f>
        <v/>
      </c>
      <c r="P74" s="11">
        <f>Data.[[#This Row],[GPV Mensual LT]]/COUNTIFS(H:H,Data.[[#This Row],[Ruc]],B:B,Data.[[#This Row],[Periodo]])</f>
        <v>250000</v>
      </c>
      <c r="Q74" s="11">
        <v>250000</v>
      </c>
      <c r="R74" s="8" t="s">
        <v>80</v>
      </c>
      <c r="S74" s="53" t="str">
        <f>VLOOKUP(Data.[[#This Row],[Ejecutivo]],Productividad!D:N,11,0)</f>
        <v>46998250</v>
      </c>
      <c r="T74" s="54" t="str">
        <f>VLOOKUP(Data.[[#This Row],[DNI Ejecutivo]],Productividad!C:U,8,0)</f>
        <v>mgodoyc@lozapay.com.pe</v>
      </c>
      <c r="U74" s="53" t="str">
        <f>VLOOKUP(Data.[[#This Row],[DNI Ejecutivo]],Productividad!C:U,4,0)</f>
        <v>Elite</v>
      </c>
      <c r="V74" s="53" t="str">
        <f>IFERROR(VLOOKUP(Data.[[#This Row],[DNI Ejecutivo]],Ejecutivos.[],11,0),"")</f>
        <v>Lima Palomino</v>
      </c>
      <c r="W74" s="8" t="s">
        <v>35</v>
      </c>
      <c r="X74" s="53" t="str" cm="1">
        <f t="array" ref="X74">IFERROR(_xlfn.IFS(Data.[[#This Row],[Supervisor]]="Jonathan Lapoint","Norte",Data.[[#This Row],[Supervisor]]="Jorge Fuentes","Norte"),"Lima")</f>
        <v>Lima</v>
      </c>
      <c r="Y74" s="53" t="str">
        <f>VLOOKUP(Data.[[#This Row],[Supervisor]],Ejecutivos!B:S,17,0)</f>
        <v>41718975</v>
      </c>
      <c r="Z74" s="54" t="str">
        <f>VLOOKUP(Data.[[#This Row],[DNI Supervisor]],Productividad!C:U,8,0)</f>
        <v>carlos.palomino@lozapay.com.pe</v>
      </c>
      <c r="AA74" s="8"/>
      <c r="AB74" s="8" t="s">
        <v>81</v>
      </c>
      <c r="AC74" s="53" t="str">
        <f>IFERROR(CONCATENATE(Data.[[#This Row],[DNI Ejecutivo]],Data.[[#This Row],[Periodo]]),"")</f>
        <v>4699825046174</v>
      </c>
      <c r="AD74" s="53" t="str">
        <f>IFERROR(VLOOKUP(Data.[[#This Row],[Código LT]],Reportería.[],10,0),"")</f>
        <v/>
      </c>
      <c r="AE74" s="53" t="str">
        <f>IFERROR(VLOOKUP(Data.[[#This Row],[Código LT]],Reportería.[],11,0),"")</f>
        <v/>
      </c>
      <c r="AF74" s="13">
        <f>IFERROR(VLOOKUP(Data.[[#This Row],[Código]],Reportería!A:BV,57,0),0)</f>
        <v>4356.3</v>
      </c>
      <c r="AG74" s="13"/>
      <c r="AH74" s="13"/>
      <c r="AI74" s="11">
        <f>IF(TEXT(Data.[[#This Row],[Periodo]],"mmm-yy")="may-26",VLOOKUP(Data.[[#This Row],[Código]],Reportería!A:BV,57,0),0)</f>
        <v>0</v>
      </c>
      <c r="AJ74" s="11"/>
      <c r="AK74" s="11"/>
      <c r="AL74" s="11">
        <f>IF(Data.[[#This Row],[Vol M0]]="",0,0)</f>
        <v>0</v>
      </c>
      <c r="AM74" s="11">
        <f>IF(Data.[[#This Row],[Vol M0]]="",0,0)</f>
        <v>0</v>
      </c>
      <c r="AN74" s="11">
        <f>IF(Data.[[#This Row],[Vol M0]]="",0,0)</f>
        <v>0</v>
      </c>
      <c r="AO74" s="11">
        <f>IF(Data.[[#This Row],[Vol M0]]="",0,0)</f>
        <v>0</v>
      </c>
      <c r="AP74" s="11">
        <f>IF(Data.[[#This Row],[Vol M0]]="",0,0)</f>
        <v>0</v>
      </c>
      <c r="AQ74" s="11">
        <f>IF(Data.[[#This Row],[Vol M0]]="",0,0)</f>
        <v>0</v>
      </c>
      <c r="AR74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75" spans="1:44" ht="14.25" customHeight="1">
      <c r="A75" s="53" t="str">
        <f>CONCATENATE(Data.[[#This Row],[Código]],Data.[[#This Row],[Ruc]])</f>
        <v>105897620609006405</v>
      </c>
      <c r="B75" s="9">
        <v>46174</v>
      </c>
      <c r="C75" s="53" t="str">
        <f>IFERROR(VLOOKUP(Data.[[#This Row],[Código LT]],Reportería.[],71,0),"")</f>
        <v/>
      </c>
      <c r="D75" s="10">
        <f>IFERROR(VLOOKUP(Data.[[#This Row],[Código]],BV!A:C,2,0),"")</f>
        <v>46177</v>
      </c>
      <c r="E75" s="10">
        <f>IFERROR(VLOOKUP(Data.[[#This Row],[Código]],BV!A:C,3,0),"")</f>
        <v>0</v>
      </c>
      <c r="F75" s="53">
        <v>1058976</v>
      </c>
      <c r="G75" s="8"/>
      <c r="H75" s="8">
        <v>20609006405</v>
      </c>
      <c r="I75" s="8" t="s">
        <v>762</v>
      </c>
      <c r="J75" s="8" t="s">
        <v>762</v>
      </c>
      <c r="K75" s="53" t="str">
        <f>IF(Data.[[#This Row],[Tipo de Venta]]&lt;&gt;"POS","Atendido",IF(Data.[[#This Row],[Fecha de Instalación]]&lt;&gt;"","Atendido","Ingresado"))</f>
        <v>Atendido</v>
      </c>
      <c r="L75" s="53" t="str">
        <f>Data.[[#This Row],[Estado]]</f>
        <v>Atendido</v>
      </c>
      <c r="M75" s="8" t="s">
        <v>33</v>
      </c>
      <c r="N75" s="53" t="str">
        <f>IFERROR(VLOOKUP(Data.[[#This Row],[Código LT]],Reportería.[],20,0),"")</f>
        <v/>
      </c>
      <c r="O75" s="53" t="str">
        <f>IFERROR(VLOOKUP(Data.[[#This Row],[Código LT]],Reportería.[],5,0),"")</f>
        <v/>
      </c>
      <c r="P75" s="11">
        <f>Data.[[#This Row],[GPV Mensual LT]]/COUNTIFS(H:H,Data.[[#This Row],[Ruc]],B:B,Data.[[#This Row],[Periodo]])</f>
        <v>250000</v>
      </c>
      <c r="Q75" s="11">
        <v>250000</v>
      </c>
      <c r="R75" s="8" t="s">
        <v>80</v>
      </c>
      <c r="S75" s="53" t="str">
        <f>VLOOKUP(Data.[[#This Row],[Ejecutivo]],Productividad!D:N,11,0)</f>
        <v>46998250</v>
      </c>
      <c r="T75" s="54" t="str">
        <f>VLOOKUP(Data.[[#This Row],[DNI Ejecutivo]],Productividad!C:U,8,0)</f>
        <v>mgodoyc@lozapay.com.pe</v>
      </c>
      <c r="U75" s="53" t="str">
        <f>VLOOKUP(Data.[[#This Row],[DNI Ejecutivo]],Productividad!C:U,4,0)</f>
        <v>Elite</v>
      </c>
      <c r="V75" s="53" t="str">
        <f>IFERROR(VLOOKUP(Data.[[#This Row],[DNI Ejecutivo]],Ejecutivos.[],11,0),"")</f>
        <v>Lima Palomino</v>
      </c>
      <c r="W75" s="8" t="s">
        <v>35</v>
      </c>
      <c r="X75" s="53" t="str" cm="1">
        <f t="array" ref="X75">IFERROR(_xlfn.IFS(Data.[[#This Row],[Supervisor]]="Jonathan Lapoint","Norte",Data.[[#This Row],[Supervisor]]="Jorge Fuentes","Norte"),"Lima")</f>
        <v>Lima</v>
      </c>
      <c r="Y75" s="53" t="str">
        <f>VLOOKUP(Data.[[#This Row],[Supervisor]],Ejecutivos!B:S,17,0)</f>
        <v>41718975</v>
      </c>
      <c r="Z75" s="54" t="str">
        <f>VLOOKUP(Data.[[#This Row],[DNI Supervisor]],Productividad!C:U,8,0)</f>
        <v>carlos.palomino@lozapay.com.pe</v>
      </c>
      <c r="AA75" s="8"/>
      <c r="AB75" s="8" t="s">
        <v>81</v>
      </c>
      <c r="AC75" s="53" t="str">
        <f>IFERROR(CONCATENATE(Data.[[#This Row],[DNI Ejecutivo]],Data.[[#This Row],[Periodo]]),"")</f>
        <v>4699825046174</v>
      </c>
      <c r="AD75" s="53" t="str">
        <f>IFERROR(VLOOKUP(Data.[[#This Row],[Código LT]],Reportería.[],10,0),"")</f>
        <v/>
      </c>
      <c r="AE75" s="53" t="str">
        <f>IFERROR(VLOOKUP(Data.[[#This Row],[Código LT]],Reportería.[],11,0),"")</f>
        <v/>
      </c>
      <c r="AF75" s="13">
        <f>IFERROR(VLOOKUP(Data.[[#This Row],[Código]],Reportería!A:BV,57,0),0)</f>
        <v>0</v>
      </c>
      <c r="AG75" s="13"/>
      <c r="AH75" s="13"/>
      <c r="AI75" s="11">
        <f>IF(TEXT(Data.[[#This Row],[Periodo]],"mmm-yy")="may-26",VLOOKUP(Data.[[#This Row],[Código]],Reportería!A:BV,57,0),0)</f>
        <v>0</v>
      </c>
      <c r="AJ75" s="11"/>
      <c r="AK75" s="11"/>
      <c r="AL75" s="11">
        <f>IF(Data.[[#This Row],[Vol M0]]="",0,0)</f>
        <v>0</v>
      </c>
      <c r="AM75" s="11">
        <f>IF(Data.[[#This Row],[Vol M0]]="",0,0)</f>
        <v>0</v>
      </c>
      <c r="AN75" s="11">
        <f>IF(Data.[[#This Row],[Vol M0]]="",0,0)</f>
        <v>0</v>
      </c>
      <c r="AO75" s="11">
        <f>IF(Data.[[#This Row],[Vol M0]]="",0,0)</f>
        <v>0</v>
      </c>
      <c r="AP75" s="11">
        <f>IF(Data.[[#This Row],[Vol M0]]="",0,0)</f>
        <v>0</v>
      </c>
      <c r="AQ75" s="11">
        <f>IF(Data.[[#This Row],[Vol M0]]="",0,0)</f>
        <v>0</v>
      </c>
      <c r="AR75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76" spans="1:44" ht="14.25" customHeight="1">
      <c r="A76" s="53" t="str">
        <f>CONCATENATE(Data.[[#This Row],[Código]],Data.[[#This Row],[Ruc]])</f>
        <v>534756520605844058</v>
      </c>
      <c r="B76" s="9">
        <v>46174</v>
      </c>
      <c r="C76" s="53" t="str">
        <f>IFERROR(VLOOKUP(Data.[[#This Row],[Código LT]],Reportería.[],71,0),"")</f>
        <v/>
      </c>
      <c r="D76" s="10">
        <f>IFERROR(VLOOKUP(Data.[[#This Row],[Código]],BV!A:C,2,0),"")</f>
        <v>46177</v>
      </c>
      <c r="E76" s="10">
        <f>IFERROR(VLOOKUP(Data.[[#This Row],[Código]],BV!A:C,3,0),"")</f>
        <v>46184</v>
      </c>
      <c r="F76" s="53">
        <v>5347565</v>
      </c>
      <c r="G76" s="8" t="s">
        <v>763</v>
      </c>
      <c r="H76" s="8">
        <v>20605844058</v>
      </c>
      <c r="I76" s="8" t="s">
        <v>764</v>
      </c>
      <c r="J76" s="8" t="s">
        <v>765</v>
      </c>
      <c r="K76" s="53" t="str">
        <f>IF(Data.[[#This Row],[Tipo de Venta]]&lt;&gt;"POS","Atendido",IF(Data.[[#This Row],[Fecha de Instalación]]&lt;&gt;"","Atendido","Ingresado"))</f>
        <v>Atendido</v>
      </c>
      <c r="L76" s="53" t="str">
        <f>Data.[[#This Row],[Estado]]</f>
        <v>Atendido</v>
      </c>
      <c r="M76" s="8" t="s">
        <v>33</v>
      </c>
      <c r="N76" s="53" t="str">
        <f>IFERROR(VLOOKUP(Data.[[#This Row],[Código LT]],Reportería.[],20,0),"")</f>
        <v/>
      </c>
      <c r="O76" s="53" t="str">
        <f>IFERROR(VLOOKUP(Data.[[#This Row],[Código LT]],Reportería.[],5,0),"")</f>
        <v/>
      </c>
      <c r="P76" s="11">
        <f>Data.[[#This Row],[GPV Mensual LT]]/COUNTIFS(H:H,Data.[[#This Row],[Ruc]],B:B,Data.[[#This Row],[Periodo]])</f>
        <v>25000</v>
      </c>
      <c r="Q76" s="11">
        <v>50000</v>
      </c>
      <c r="R76" s="8" t="s">
        <v>74</v>
      </c>
      <c r="S76" s="53" t="str">
        <f>VLOOKUP(Data.[[#This Row],[Ejecutivo]],Productividad!D:N,11,0)</f>
        <v>45311691</v>
      </c>
      <c r="T76" s="54" t="str">
        <f>VLOOKUP(Data.[[#This Row],[DNI Ejecutivo]],Productividad!C:U,8,0)</f>
        <v>edinson.chuyes@lozapay.com.pe</v>
      </c>
      <c r="U76" s="53" t="str">
        <f>VLOOKUP(Data.[[#This Row],[DNI Ejecutivo]],Productividad!C:U,4,0)</f>
        <v>Elite</v>
      </c>
      <c r="V76" s="53" t="str">
        <f>IFERROR(VLOOKUP(Data.[[#This Row],[DNI Ejecutivo]],Ejecutivos.[],11,0),"")</f>
        <v>Lima Jean</v>
      </c>
      <c r="W76" s="8" t="s">
        <v>64</v>
      </c>
      <c r="X76" s="53" t="str" cm="1">
        <f t="array" ref="X76">IFERROR(_xlfn.IFS(Data.[[#This Row],[Supervisor]]="Jonathan Lapoint","Norte",Data.[[#This Row],[Supervisor]]="Jorge Fuentes","Norte"),"Lima")</f>
        <v>Lima</v>
      </c>
      <c r="Y76" s="53" t="str">
        <f>VLOOKUP(Data.[[#This Row],[Supervisor]],Ejecutivos!B:S,17,0)</f>
        <v>47688341</v>
      </c>
      <c r="Z76" s="54" t="str">
        <f>VLOOKUP(Data.[[#This Row],[DNI Supervisor]],Productividad!C:U,8,0)</f>
        <v>jaguilar@lozapay.com.pe</v>
      </c>
      <c r="AA76" s="8"/>
      <c r="AB76" s="8" t="s">
        <v>53</v>
      </c>
      <c r="AC76" s="53" t="str">
        <f>IFERROR(CONCATENATE(Data.[[#This Row],[DNI Ejecutivo]],Data.[[#This Row],[Periodo]]),"")</f>
        <v>4531169146174</v>
      </c>
      <c r="AD76" s="53" t="str">
        <f>IFERROR(VLOOKUP(Data.[[#This Row],[Código LT]],Reportería.[],10,0),"")</f>
        <v/>
      </c>
      <c r="AE76" s="53" t="str">
        <f>IFERROR(VLOOKUP(Data.[[#This Row],[Código LT]],Reportería.[],11,0),"")</f>
        <v/>
      </c>
      <c r="AF76" s="13">
        <v>4056</v>
      </c>
      <c r="AG76" s="13"/>
      <c r="AH76" s="13"/>
      <c r="AI76" s="11">
        <f>IF(TEXT(Data.[[#This Row],[Periodo]],"mmm-yy")="may-26",VLOOKUP(Data.[[#This Row],[Código]],Reportería!A:BV,57,0),0)</f>
        <v>0</v>
      </c>
      <c r="AJ76" s="11"/>
      <c r="AK76" s="11"/>
      <c r="AL76" s="11">
        <f>IF(Data.[[#This Row],[Vol M0]]="",0,0)</f>
        <v>0</v>
      </c>
      <c r="AM76" s="11">
        <f>IF(Data.[[#This Row],[Vol M0]]="",0,0)</f>
        <v>0</v>
      </c>
      <c r="AN76" s="11">
        <f>IF(Data.[[#This Row],[Vol M0]]="",0,0)</f>
        <v>0</v>
      </c>
      <c r="AO76" s="11">
        <f>IF(Data.[[#This Row],[Vol M0]]="",0,0)</f>
        <v>0</v>
      </c>
      <c r="AP76" s="11">
        <f>IF(Data.[[#This Row],[Vol M0]]="",0,0)</f>
        <v>0</v>
      </c>
      <c r="AQ76" s="11">
        <f>IF(Data.[[#This Row],[Vol M0]]="",0,0)</f>
        <v>0</v>
      </c>
      <c r="AR76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77" spans="1:44" ht="14.25" customHeight="1">
      <c r="A77" s="53" t="str">
        <f>CONCATENATE(Data.[[#This Row],[Código]],Data.[[#This Row],[Ruc]])</f>
        <v>534756920605844058</v>
      </c>
      <c r="B77" s="9">
        <v>46174</v>
      </c>
      <c r="C77" s="53" t="str">
        <f>IFERROR(VLOOKUP(Data.[[#This Row],[Código LT]],Reportería.[],71,0),"")</f>
        <v/>
      </c>
      <c r="D77" s="10">
        <f>IFERROR(VLOOKUP(Data.[[#This Row],[Código]],BV!A:C,2,0),"")</f>
        <v>46177</v>
      </c>
      <c r="E77" s="10">
        <f>IFERROR(VLOOKUP(Data.[[#This Row],[Código]],BV!A:C,3,0),"")</f>
        <v>46184</v>
      </c>
      <c r="F77" s="53">
        <v>5347569</v>
      </c>
      <c r="G77" s="8" t="s">
        <v>766</v>
      </c>
      <c r="H77" s="8">
        <v>20605844058</v>
      </c>
      <c r="I77" s="8" t="s">
        <v>764</v>
      </c>
      <c r="J77" s="8" t="s">
        <v>767</v>
      </c>
      <c r="K77" s="53" t="str">
        <f>IF(Data.[[#This Row],[Tipo de Venta]]&lt;&gt;"POS","Atendido",IF(Data.[[#This Row],[Fecha de Instalación]]&lt;&gt;"","Atendido","Ingresado"))</f>
        <v>Atendido</v>
      </c>
      <c r="L77" s="53" t="str">
        <f>Data.[[#This Row],[Estado]]</f>
        <v>Atendido</v>
      </c>
      <c r="M77" s="8" t="s">
        <v>33</v>
      </c>
      <c r="N77" s="53" t="str">
        <f>IFERROR(VLOOKUP(Data.[[#This Row],[Código LT]],Reportería.[],20,0),"")</f>
        <v/>
      </c>
      <c r="O77" s="53" t="str">
        <f>IFERROR(VLOOKUP(Data.[[#This Row],[Código LT]],Reportería.[],5,0),"")</f>
        <v/>
      </c>
      <c r="P77" s="11">
        <f>Data.[[#This Row],[GPV Mensual LT]]/COUNTIFS(H:H,Data.[[#This Row],[Ruc]],B:B,Data.[[#This Row],[Periodo]])</f>
        <v>25000</v>
      </c>
      <c r="Q77" s="11">
        <v>50000</v>
      </c>
      <c r="R77" s="8" t="s">
        <v>74</v>
      </c>
      <c r="S77" s="53" t="str">
        <f>VLOOKUP(Data.[[#This Row],[Ejecutivo]],Productividad!D:N,11,0)</f>
        <v>45311691</v>
      </c>
      <c r="T77" s="54" t="str">
        <f>VLOOKUP(Data.[[#This Row],[DNI Ejecutivo]],Productividad!C:U,8,0)</f>
        <v>edinson.chuyes@lozapay.com.pe</v>
      </c>
      <c r="U77" s="53" t="str">
        <f>VLOOKUP(Data.[[#This Row],[DNI Ejecutivo]],Productividad!C:U,4,0)</f>
        <v>Elite</v>
      </c>
      <c r="V77" s="53" t="str">
        <f>IFERROR(VLOOKUP(Data.[[#This Row],[DNI Ejecutivo]],Ejecutivos.[],11,0),"")</f>
        <v>Lima Jean</v>
      </c>
      <c r="W77" s="8" t="s">
        <v>64</v>
      </c>
      <c r="X77" s="53" t="str" cm="1">
        <f t="array" ref="X77">IFERROR(_xlfn.IFS(Data.[[#This Row],[Supervisor]]="Jonathan Lapoint","Norte",Data.[[#This Row],[Supervisor]]="Jorge Fuentes","Norte"),"Lima")</f>
        <v>Lima</v>
      </c>
      <c r="Y77" s="53" t="str">
        <f>VLOOKUP(Data.[[#This Row],[Supervisor]],Ejecutivos!B:S,17,0)</f>
        <v>47688341</v>
      </c>
      <c r="Z77" s="54" t="str">
        <f>VLOOKUP(Data.[[#This Row],[DNI Supervisor]],Productividad!C:U,8,0)</f>
        <v>jaguilar@lozapay.com.pe</v>
      </c>
      <c r="AA77" s="8"/>
      <c r="AB77" s="8" t="s">
        <v>53</v>
      </c>
      <c r="AC77" s="53" t="str">
        <f>IFERROR(CONCATENATE(Data.[[#This Row],[DNI Ejecutivo]],Data.[[#This Row],[Periodo]]),"")</f>
        <v>4531169146174</v>
      </c>
      <c r="AD77" s="53" t="str">
        <f>IFERROR(VLOOKUP(Data.[[#This Row],[Código LT]],Reportería.[],10,0),"")</f>
        <v/>
      </c>
      <c r="AE77" s="53" t="str">
        <f>IFERROR(VLOOKUP(Data.[[#This Row],[Código LT]],Reportería.[],11,0),"")</f>
        <v/>
      </c>
      <c r="AF77" s="13">
        <f>IFERROR(VLOOKUP(Data.[[#This Row],[Código]],Reportería!A:BV,57,0),0)</f>
        <v>0</v>
      </c>
      <c r="AG77" s="13"/>
      <c r="AH77" s="13"/>
      <c r="AI77" s="11">
        <f>IF(TEXT(Data.[[#This Row],[Periodo]],"mmm-yy")="may-26",VLOOKUP(Data.[[#This Row],[Código]],Reportería!A:BV,57,0),0)</f>
        <v>0</v>
      </c>
      <c r="AJ77" s="11"/>
      <c r="AK77" s="11"/>
      <c r="AL77" s="11">
        <f>IF(Data.[[#This Row],[Vol M0]]="",0,0)</f>
        <v>0</v>
      </c>
      <c r="AM77" s="11">
        <f>IF(Data.[[#This Row],[Vol M0]]="",0,0)</f>
        <v>0</v>
      </c>
      <c r="AN77" s="11">
        <f>IF(Data.[[#This Row],[Vol M0]]="",0,0)</f>
        <v>0</v>
      </c>
      <c r="AO77" s="11">
        <f>IF(Data.[[#This Row],[Vol M0]]="",0,0)</f>
        <v>0</v>
      </c>
      <c r="AP77" s="11">
        <f>IF(Data.[[#This Row],[Vol M0]]="",0,0)</f>
        <v>0</v>
      </c>
      <c r="AQ77" s="11">
        <f>IF(Data.[[#This Row],[Vol M0]]="",0,0)</f>
        <v>0</v>
      </c>
      <c r="AR77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78" spans="1:44" ht="14.25" customHeight="1">
      <c r="A78" s="53" t="str">
        <f>CONCATENATE(Data.[[#This Row],[Código]],Data.[[#This Row],[Ruc]])</f>
        <v>586052420611450746</v>
      </c>
      <c r="B78" s="9">
        <v>46174</v>
      </c>
      <c r="C78" s="53" t="str">
        <f>IFERROR(VLOOKUP(Data.[[#This Row],[Código LT]],Reportería.[],71,0),"")</f>
        <v/>
      </c>
      <c r="D78" s="10">
        <f>IFERROR(VLOOKUP(Data.[[#This Row],[Código]],BV!A:C,2,0),"")</f>
        <v>46177</v>
      </c>
      <c r="E78" s="10">
        <f>IFERROR(VLOOKUP(Data.[[#This Row],[Código]],BV!A:C,3,0),"")</f>
        <v>0</v>
      </c>
      <c r="F78" s="53">
        <v>5860524</v>
      </c>
      <c r="G78" s="8" t="s">
        <v>768</v>
      </c>
      <c r="H78" s="8">
        <v>20611450746</v>
      </c>
      <c r="I78" s="8" t="s">
        <v>769</v>
      </c>
      <c r="J78" s="8" t="s">
        <v>770</v>
      </c>
      <c r="K78" s="53" t="str">
        <f>IF(Data.[[#This Row],[Tipo de Venta]]&lt;&gt;"POS","Atendido",IF(Data.[[#This Row],[Fecha de Instalación]]&lt;&gt;"","Atendido","Ingresado"))</f>
        <v>Atendido</v>
      </c>
      <c r="L78" s="53" t="str">
        <f>Data.[[#This Row],[Estado]]</f>
        <v>Atendido</v>
      </c>
      <c r="M78" s="8" t="s">
        <v>33</v>
      </c>
      <c r="N78" s="53" t="str">
        <f>IFERROR(VLOOKUP(Data.[[#This Row],[Código LT]],Reportería.[],20,0),"")</f>
        <v/>
      </c>
      <c r="O78" s="53" t="str">
        <f>IFERROR(VLOOKUP(Data.[[#This Row],[Código LT]],Reportería.[],5,0),"")</f>
        <v/>
      </c>
      <c r="P78" s="11">
        <f>Data.[[#This Row],[GPV Mensual LT]]/COUNTIFS(H:H,Data.[[#This Row],[Ruc]],B:B,Data.[[#This Row],[Periodo]])</f>
        <v>31250</v>
      </c>
      <c r="Q78" s="11">
        <v>250000</v>
      </c>
      <c r="R78" s="8" t="s">
        <v>52</v>
      </c>
      <c r="S78" s="53" t="str">
        <f>VLOOKUP(Data.[[#This Row],[Ejecutivo]],Productividad!D:N,11,0)</f>
        <v>47045287</v>
      </c>
      <c r="T78" s="54" t="str">
        <f>VLOOKUP(Data.[[#This Row],[DNI Ejecutivo]],Productividad!C:U,8,0)</f>
        <v>asifuentesu@lozapay.com.pe</v>
      </c>
      <c r="U78" s="53" t="str">
        <f>VLOOKUP(Data.[[#This Row],[DNI Ejecutivo]],Productividad!C:U,4,0)</f>
        <v>Elite</v>
      </c>
      <c r="V78" s="53" t="str">
        <f>IFERROR(VLOOKUP(Data.[[#This Row],[DNI Ejecutivo]],Ejecutivos.[],11,0),"")</f>
        <v>Norte Fuentes</v>
      </c>
      <c r="W78" s="8" t="s">
        <v>42</v>
      </c>
      <c r="X78" s="53" t="str" cm="1">
        <f t="array" ref="X78">IFERROR(_xlfn.IFS(Data.[[#This Row],[Supervisor]]="Jonathan Lapoint","Norte",Data.[[#This Row],[Supervisor]]="Jorge Fuentes","Norte"),"Lima")</f>
        <v>Norte</v>
      </c>
      <c r="Y78" s="53" t="str">
        <f>VLOOKUP(Data.[[#This Row],[Supervisor]],Ejecutivos!B:S,17,0)</f>
        <v>70059865</v>
      </c>
      <c r="Z78" s="54" t="str">
        <f>VLOOKUP(Data.[[#This Row],[DNI Supervisor]],Productividad!C:U,8,0)</f>
        <v>jfuentes@lozapay.com.pe</v>
      </c>
      <c r="AA78" s="8"/>
      <c r="AB78" s="8" t="s">
        <v>295</v>
      </c>
      <c r="AC78" s="53" t="str">
        <f>IFERROR(CONCATENATE(Data.[[#This Row],[DNI Ejecutivo]],Data.[[#This Row],[Periodo]]),"")</f>
        <v>4704528746174</v>
      </c>
      <c r="AD78" s="53" t="str">
        <f>IFERROR(VLOOKUP(Data.[[#This Row],[Código LT]],Reportería.[],10,0),"")</f>
        <v/>
      </c>
      <c r="AE78" s="53" t="str">
        <f>IFERROR(VLOOKUP(Data.[[#This Row],[Código LT]],Reportería.[],11,0),"")</f>
        <v/>
      </c>
      <c r="AF78" s="13">
        <f>IFERROR(VLOOKUP(Data.[[#This Row],[Código]],Reportería!A:BV,57,0),0)</f>
        <v>0</v>
      </c>
      <c r="AG78" s="13"/>
      <c r="AH78" s="13"/>
      <c r="AI78" s="11">
        <f>IF(TEXT(Data.[[#This Row],[Periodo]],"mmm-yy")="may-26",VLOOKUP(Data.[[#This Row],[Código]],Reportería!A:BV,57,0),0)</f>
        <v>0</v>
      </c>
      <c r="AJ78" s="11"/>
      <c r="AK78" s="11"/>
      <c r="AL78" s="11">
        <f>IF(Data.[[#This Row],[Vol M0]]="",0,0)</f>
        <v>0</v>
      </c>
      <c r="AM78" s="11">
        <f>IF(Data.[[#This Row],[Vol M0]]="",0,0)</f>
        <v>0</v>
      </c>
      <c r="AN78" s="11">
        <f>IF(Data.[[#This Row],[Vol M0]]="",0,0)</f>
        <v>0</v>
      </c>
      <c r="AO78" s="11">
        <f>IF(Data.[[#This Row],[Vol M0]]="",0,0)</f>
        <v>0</v>
      </c>
      <c r="AP78" s="11">
        <f>IF(Data.[[#This Row],[Vol M0]]="",0,0)</f>
        <v>0</v>
      </c>
      <c r="AQ78" s="11">
        <f>IF(Data.[[#This Row],[Vol M0]]="",0,0)</f>
        <v>0</v>
      </c>
      <c r="AR78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79" spans="1:44" ht="14.25" customHeight="1">
      <c r="A79" s="53" t="str">
        <f>CONCATENATE(Data.[[#This Row],[Código]],Data.[[#This Row],[Ruc]])</f>
        <v>586052720611450746</v>
      </c>
      <c r="B79" s="9">
        <v>46174</v>
      </c>
      <c r="C79" s="53" t="str">
        <f>IFERROR(VLOOKUP(Data.[[#This Row],[Código LT]],Reportería.[],71,0),"")</f>
        <v/>
      </c>
      <c r="D79" s="10">
        <f>IFERROR(VLOOKUP(Data.[[#This Row],[Código]],BV!A:C,2,0),"")</f>
        <v>46177</v>
      </c>
      <c r="E79" s="10">
        <f>IFERROR(VLOOKUP(Data.[[#This Row],[Código]],BV!A:C,3,0),"")</f>
        <v>0</v>
      </c>
      <c r="F79" s="53">
        <v>5860527</v>
      </c>
      <c r="G79" s="81" t="s">
        <v>771</v>
      </c>
      <c r="H79" s="8">
        <v>20611450746</v>
      </c>
      <c r="I79" s="8" t="s">
        <v>769</v>
      </c>
      <c r="J79" s="8" t="s">
        <v>770</v>
      </c>
      <c r="K79" s="53" t="str">
        <f>IF(Data.[[#This Row],[Tipo de Venta]]&lt;&gt;"POS","Atendido",IF(Data.[[#This Row],[Fecha de Instalación]]&lt;&gt;"","Atendido","Ingresado"))</f>
        <v>Atendido</v>
      </c>
      <c r="L79" s="53" t="str">
        <f>Data.[[#This Row],[Estado]]</f>
        <v>Atendido</v>
      </c>
      <c r="M79" s="8" t="s">
        <v>33</v>
      </c>
      <c r="N79" s="53" t="str">
        <f>IFERROR(VLOOKUP(Data.[[#This Row],[Código LT]],Reportería.[],20,0),"")</f>
        <v/>
      </c>
      <c r="O79" s="53" t="str">
        <f>IFERROR(VLOOKUP(Data.[[#This Row],[Código LT]],Reportería.[],5,0),"")</f>
        <v/>
      </c>
      <c r="P79" s="11">
        <f>Data.[[#This Row],[GPV Mensual LT]]/COUNTIFS(H:H,Data.[[#This Row],[Ruc]],B:B,Data.[[#This Row],[Periodo]])</f>
        <v>31250</v>
      </c>
      <c r="Q79" s="11">
        <v>250000</v>
      </c>
      <c r="R79" s="8" t="s">
        <v>52</v>
      </c>
      <c r="S79" s="53" t="str">
        <f>VLOOKUP(Data.[[#This Row],[Ejecutivo]],Productividad!D:N,11,0)</f>
        <v>47045287</v>
      </c>
      <c r="T79" s="54" t="str">
        <f>VLOOKUP(Data.[[#This Row],[DNI Ejecutivo]],Productividad!C:U,8,0)</f>
        <v>asifuentesu@lozapay.com.pe</v>
      </c>
      <c r="U79" s="53" t="str">
        <f>VLOOKUP(Data.[[#This Row],[DNI Ejecutivo]],Productividad!C:U,4,0)</f>
        <v>Elite</v>
      </c>
      <c r="V79" s="53" t="str">
        <f>IFERROR(VLOOKUP(Data.[[#This Row],[DNI Ejecutivo]],Ejecutivos.[],11,0),"")</f>
        <v>Norte Fuentes</v>
      </c>
      <c r="W79" s="8" t="s">
        <v>42</v>
      </c>
      <c r="X79" s="53" t="str" cm="1">
        <f t="array" ref="X79">IFERROR(_xlfn.IFS(Data.[[#This Row],[Supervisor]]="Jonathan Lapoint","Norte",Data.[[#This Row],[Supervisor]]="Jorge Fuentes","Norte"),"Lima")</f>
        <v>Norte</v>
      </c>
      <c r="Y79" s="53" t="str">
        <f>VLOOKUP(Data.[[#This Row],[Supervisor]],Ejecutivos!B:S,17,0)</f>
        <v>70059865</v>
      </c>
      <c r="Z79" s="54" t="str">
        <f>VLOOKUP(Data.[[#This Row],[DNI Supervisor]],Productividad!C:U,8,0)</f>
        <v>jfuentes@lozapay.com.pe</v>
      </c>
      <c r="AA79" s="8"/>
      <c r="AB79" s="8" t="s">
        <v>295</v>
      </c>
      <c r="AC79" s="53" t="str">
        <f>IFERROR(CONCATENATE(Data.[[#This Row],[DNI Ejecutivo]],Data.[[#This Row],[Periodo]]),"")</f>
        <v>4704528746174</v>
      </c>
      <c r="AD79" s="53" t="str">
        <f>IFERROR(VLOOKUP(Data.[[#This Row],[Código LT]],Reportería.[],10,0),"")</f>
        <v/>
      </c>
      <c r="AE79" s="53" t="str">
        <f>IFERROR(VLOOKUP(Data.[[#This Row],[Código LT]],Reportería.[],11,0),"")</f>
        <v/>
      </c>
      <c r="AF79" s="13">
        <f>IFERROR(VLOOKUP(Data.[[#This Row],[Código]],Reportería!A:BV,57,0),0)</f>
        <v>0</v>
      </c>
      <c r="AG79" s="13"/>
      <c r="AH79" s="13"/>
      <c r="AI79" s="11">
        <f>IF(TEXT(Data.[[#This Row],[Periodo]],"mmm-yy")="may-26",VLOOKUP(Data.[[#This Row],[Código]],Reportería!A:BV,57,0),0)</f>
        <v>0</v>
      </c>
      <c r="AJ79" s="11"/>
      <c r="AK79" s="11"/>
      <c r="AL79" s="11">
        <f>IF(Data.[[#This Row],[Vol M0]]="",0,0)</f>
        <v>0</v>
      </c>
      <c r="AM79" s="11">
        <f>IF(Data.[[#This Row],[Vol M0]]="",0,0)</f>
        <v>0</v>
      </c>
      <c r="AN79" s="11">
        <f>IF(Data.[[#This Row],[Vol M0]]="",0,0)</f>
        <v>0</v>
      </c>
      <c r="AO79" s="11">
        <f>IF(Data.[[#This Row],[Vol M0]]="",0,0)</f>
        <v>0</v>
      </c>
      <c r="AP79" s="11">
        <f>IF(Data.[[#This Row],[Vol M0]]="",0,0)</f>
        <v>0</v>
      </c>
      <c r="AQ79" s="11">
        <f>IF(Data.[[#This Row],[Vol M0]]="",0,0)</f>
        <v>0</v>
      </c>
      <c r="AR79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80" spans="1:44" ht="14.25" customHeight="1">
      <c r="A80" s="53" t="str">
        <f>CONCATENATE(Data.[[#This Row],[Código]],Data.[[#This Row],[Ruc]])</f>
        <v>586349620611450746</v>
      </c>
      <c r="B80" s="9">
        <v>46174</v>
      </c>
      <c r="C80" s="53" t="str">
        <f>IFERROR(VLOOKUP(Data.[[#This Row],[Código LT]],Reportería.[],71,0),"")</f>
        <v/>
      </c>
      <c r="D80" s="10">
        <f>IFERROR(VLOOKUP(Data.[[#This Row],[Código]],BV!A:C,2,0),"")</f>
        <v>46177</v>
      </c>
      <c r="E80" s="10">
        <f>IFERROR(VLOOKUP(Data.[[#This Row],[Código]],BV!A:C,3,0),"")</f>
        <v>0</v>
      </c>
      <c r="F80" s="53">
        <v>5863496</v>
      </c>
      <c r="G80" s="8" t="s">
        <v>772</v>
      </c>
      <c r="H80" s="8">
        <v>20611450746</v>
      </c>
      <c r="I80" s="8" t="s">
        <v>769</v>
      </c>
      <c r="J80" s="8" t="s">
        <v>770</v>
      </c>
      <c r="K80" s="53" t="str">
        <f>IF(Data.[[#This Row],[Tipo de Venta]]&lt;&gt;"POS","Atendido",IF(Data.[[#This Row],[Fecha de Instalación]]&lt;&gt;"","Atendido","Ingresado"))</f>
        <v>Atendido</v>
      </c>
      <c r="L80" s="53" t="str">
        <f>Data.[[#This Row],[Estado]]</f>
        <v>Atendido</v>
      </c>
      <c r="M80" s="8" t="s">
        <v>33</v>
      </c>
      <c r="N80" s="53" t="str">
        <f>IFERROR(VLOOKUP(Data.[[#This Row],[Código LT]],Reportería.[],20,0),"")</f>
        <v/>
      </c>
      <c r="O80" s="53" t="str">
        <f>IFERROR(VLOOKUP(Data.[[#This Row],[Código LT]],Reportería.[],5,0),"")</f>
        <v/>
      </c>
      <c r="P80" s="11">
        <f>Data.[[#This Row],[GPV Mensual LT]]/COUNTIFS(H:H,Data.[[#This Row],[Ruc]],B:B,Data.[[#This Row],[Periodo]])</f>
        <v>31250</v>
      </c>
      <c r="Q80" s="11">
        <v>250000</v>
      </c>
      <c r="R80" s="8" t="s">
        <v>52</v>
      </c>
      <c r="S80" s="53" t="str">
        <f>VLOOKUP(Data.[[#This Row],[Ejecutivo]],Productividad!D:N,11,0)</f>
        <v>47045287</v>
      </c>
      <c r="T80" s="54" t="str">
        <f>VLOOKUP(Data.[[#This Row],[DNI Ejecutivo]],Productividad!C:U,8,0)</f>
        <v>asifuentesu@lozapay.com.pe</v>
      </c>
      <c r="U80" s="53" t="str">
        <f>VLOOKUP(Data.[[#This Row],[DNI Ejecutivo]],Productividad!C:U,4,0)</f>
        <v>Elite</v>
      </c>
      <c r="V80" s="53" t="str">
        <f>IFERROR(VLOOKUP(Data.[[#This Row],[DNI Ejecutivo]],Ejecutivos.[],11,0),"")</f>
        <v>Norte Fuentes</v>
      </c>
      <c r="W80" s="8" t="s">
        <v>42</v>
      </c>
      <c r="X80" s="53" t="str" cm="1">
        <f t="array" ref="X80">IFERROR(_xlfn.IFS(Data.[[#This Row],[Supervisor]]="Jonathan Lapoint","Norte",Data.[[#This Row],[Supervisor]]="Jorge Fuentes","Norte"),"Lima")</f>
        <v>Norte</v>
      </c>
      <c r="Y80" s="53" t="str">
        <f>VLOOKUP(Data.[[#This Row],[Supervisor]],Ejecutivos!B:S,17,0)</f>
        <v>70059865</v>
      </c>
      <c r="Z80" s="54" t="str">
        <f>VLOOKUP(Data.[[#This Row],[DNI Supervisor]],Productividad!C:U,8,0)</f>
        <v>jfuentes@lozapay.com.pe</v>
      </c>
      <c r="AA80" s="8"/>
      <c r="AB80" s="8" t="s">
        <v>295</v>
      </c>
      <c r="AC80" s="53" t="str">
        <f>IFERROR(CONCATENATE(Data.[[#This Row],[DNI Ejecutivo]],Data.[[#This Row],[Periodo]]),"")</f>
        <v>4704528746174</v>
      </c>
      <c r="AD80" s="53" t="str">
        <f>IFERROR(VLOOKUP(Data.[[#This Row],[Código LT]],Reportería.[],10,0),"")</f>
        <v/>
      </c>
      <c r="AE80" s="53" t="str">
        <f>IFERROR(VLOOKUP(Data.[[#This Row],[Código LT]],Reportería.[],11,0),"")</f>
        <v/>
      </c>
      <c r="AF80" s="13">
        <f>IFERROR(VLOOKUP(Data.[[#This Row],[Código]],Reportería!A:BV,57,0),0)</f>
        <v>0</v>
      </c>
      <c r="AG80" s="13"/>
      <c r="AH80" s="13"/>
      <c r="AI80" s="11">
        <f>IF(TEXT(Data.[[#This Row],[Periodo]],"mmm-yy")="may-26",VLOOKUP(Data.[[#This Row],[Código]],Reportería!A:BV,57,0),0)</f>
        <v>0</v>
      </c>
      <c r="AJ80" s="11"/>
      <c r="AK80" s="11"/>
      <c r="AL80" s="11">
        <f>IF(Data.[[#This Row],[Vol M0]]="",0,0)</f>
        <v>0</v>
      </c>
      <c r="AM80" s="11">
        <f>IF(Data.[[#This Row],[Vol M0]]="",0,0)</f>
        <v>0</v>
      </c>
      <c r="AN80" s="11">
        <f>IF(Data.[[#This Row],[Vol M0]]="",0,0)</f>
        <v>0</v>
      </c>
      <c r="AO80" s="11">
        <f>IF(Data.[[#This Row],[Vol M0]]="",0,0)</f>
        <v>0</v>
      </c>
      <c r="AP80" s="11">
        <f>IF(Data.[[#This Row],[Vol M0]]="",0,0)</f>
        <v>0</v>
      </c>
      <c r="AQ80" s="11">
        <f>IF(Data.[[#This Row],[Vol M0]]="",0,0)</f>
        <v>0</v>
      </c>
      <c r="AR80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81" spans="1:44" ht="14.25" customHeight="1">
      <c r="A81" s="53" t="str">
        <f>CONCATENATE(Data.[[#This Row],[Código]],Data.[[#This Row],[Ruc]])</f>
        <v>586074020611450746</v>
      </c>
      <c r="B81" s="9">
        <v>46174</v>
      </c>
      <c r="C81" s="53" t="str">
        <f>IFERROR(VLOOKUP(Data.[[#This Row],[Código LT]],Reportería.[],71,0),"")</f>
        <v/>
      </c>
      <c r="D81" s="10">
        <f>IFERROR(VLOOKUP(Data.[[#This Row],[Código]],BV!A:C,2,0),"")</f>
        <v>46177</v>
      </c>
      <c r="E81" s="10">
        <f>IFERROR(VLOOKUP(Data.[[#This Row],[Código]],BV!A:C,3,0),"")</f>
        <v>0</v>
      </c>
      <c r="F81" s="53">
        <v>5860740</v>
      </c>
      <c r="G81" s="8" t="s">
        <v>773</v>
      </c>
      <c r="H81" s="8">
        <v>20611450746</v>
      </c>
      <c r="I81" s="8" t="s">
        <v>769</v>
      </c>
      <c r="J81" s="8" t="s">
        <v>770</v>
      </c>
      <c r="K81" s="53" t="str">
        <f>IF(Data.[[#This Row],[Tipo de Venta]]&lt;&gt;"POS","Atendido",IF(Data.[[#This Row],[Fecha de Instalación]]&lt;&gt;"","Atendido","Ingresado"))</f>
        <v>Atendido</v>
      </c>
      <c r="L81" s="53" t="str">
        <f>Data.[[#This Row],[Estado]]</f>
        <v>Atendido</v>
      </c>
      <c r="M81" s="8" t="s">
        <v>33</v>
      </c>
      <c r="N81" s="53" t="str">
        <f>IFERROR(VLOOKUP(Data.[[#This Row],[Código LT]],Reportería.[],20,0),"")</f>
        <v/>
      </c>
      <c r="O81" s="53" t="str">
        <f>IFERROR(VLOOKUP(Data.[[#This Row],[Código LT]],Reportería.[],5,0),"")</f>
        <v/>
      </c>
      <c r="P81" s="11">
        <f>Data.[[#This Row],[GPV Mensual LT]]/COUNTIFS(H:H,Data.[[#This Row],[Ruc]],B:B,Data.[[#This Row],[Periodo]])</f>
        <v>31250</v>
      </c>
      <c r="Q81" s="11">
        <v>250000</v>
      </c>
      <c r="R81" s="8" t="s">
        <v>52</v>
      </c>
      <c r="S81" s="53" t="str">
        <f>VLOOKUP(Data.[[#This Row],[Ejecutivo]],Productividad!D:N,11,0)</f>
        <v>47045287</v>
      </c>
      <c r="T81" s="54" t="str">
        <f>VLOOKUP(Data.[[#This Row],[DNI Ejecutivo]],Productividad!C:U,8,0)</f>
        <v>asifuentesu@lozapay.com.pe</v>
      </c>
      <c r="U81" s="53" t="str">
        <f>VLOOKUP(Data.[[#This Row],[DNI Ejecutivo]],Productividad!C:U,4,0)</f>
        <v>Elite</v>
      </c>
      <c r="V81" s="53" t="str">
        <f>IFERROR(VLOOKUP(Data.[[#This Row],[DNI Ejecutivo]],Ejecutivos.[],11,0),"")</f>
        <v>Norte Fuentes</v>
      </c>
      <c r="W81" s="8" t="s">
        <v>42</v>
      </c>
      <c r="X81" s="53" t="str" cm="1">
        <f t="array" ref="X81">IFERROR(_xlfn.IFS(Data.[[#This Row],[Supervisor]]="Jonathan Lapoint","Norte",Data.[[#This Row],[Supervisor]]="Jorge Fuentes","Norte"),"Lima")</f>
        <v>Norte</v>
      </c>
      <c r="Y81" s="53" t="str">
        <f>VLOOKUP(Data.[[#This Row],[Supervisor]],Ejecutivos!B:S,17,0)</f>
        <v>70059865</v>
      </c>
      <c r="Z81" s="54" t="str">
        <f>VLOOKUP(Data.[[#This Row],[DNI Supervisor]],Productividad!C:U,8,0)</f>
        <v>jfuentes@lozapay.com.pe</v>
      </c>
      <c r="AA81" s="8"/>
      <c r="AB81" s="8" t="s">
        <v>295</v>
      </c>
      <c r="AC81" s="53" t="str">
        <f>IFERROR(CONCATENATE(Data.[[#This Row],[DNI Ejecutivo]],Data.[[#This Row],[Periodo]]),"")</f>
        <v>4704528746174</v>
      </c>
      <c r="AD81" s="53" t="str">
        <f>IFERROR(VLOOKUP(Data.[[#This Row],[Código LT]],Reportería.[],10,0),"")</f>
        <v/>
      </c>
      <c r="AE81" s="53" t="str">
        <f>IFERROR(VLOOKUP(Data.[[#This Row],[Código LT]],Reportería.[],11,0),"")</f>
        <v/>
      </c>
      <c r="AF81" s="13">
        <f>IFERROR(VLOOKUP(Data.[[#This Row],[Código]],Reportería!A:BV,57,0),0)</f>
        <v>0</v>
      </c>
      <c r="AG81" s="13"/>
      <c r="AH81" s="13"/>
      <c r="AI81" s="11">
        <f>IF(TEXT(Data.[[#This Row],[Periodo]],"mmm-yy")="may-26",VLOOKUP(Data.[[#This Row],[Código]],Reportería!A:BV,57,0),0)</f>
        <v>0</v>
      </c>
      <c r="AJ81" s="11"/>
      <c r="AK81" s="11"/>
      <c r="AL81" s="11">
        <f>IF(Data.[[#This Row],[Vol M0]]="",0,0)</f>
        <v>0</v>
      </c>
      <c r="AM81" s="11">
        <f>IF(Data.[[#This Row],[Vol M0]]="",0,0)</f>
        <v>0</v>
      </c>
      <c r="AN81" s="11">
        <f>IF(Data.[[#This Row],[Vol M0]]="",0,0)</f>
        <v>0</v>
      </c>
      <c r="AO81" s="11">
        <f>IF(Data.[[#This Row],[Vol M0]]="",0,0)</f>
        <v>0</v>
      </c>
      <c r="AP81" s="11">
        <f>IF(Data.[[#This Row],[Vol M0]]="",0,0)</f>
        <v>0</v>
      </c>
      <c r="AQ81" s="11">
        <f>IF(Data.[[#This Row],[Vol M0]]="",0,0)</f>
        <v>0</v>
      </c>
      <c r="AR81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82" spans="1:44" ht="14.25" customHeight="1">
      <c r="A82" s="53" t="str">
        <f>CONCATENATE(Data.[[#This Row],[Código]],Data.[[#This Row],[Ruc]])</f>
        <v>586054520611450746</v>
      </c>
      <c r="B82" s="9">
        <v>46174</v>
      </c>
      <c r="C82" s="53" t="str">
        <f>IFERROR(VLOOKUP(Data.[[#This Row],[Código LT]],Reportería.[],71,0),"")</f>
        <v/>
      </c>
      <c r="D82" s="10">
        <f>IFERROR(VLOOKUP(Data.[[#This Row],[Código]],BV!A:C,2,0),"")</f>
        <v>46177</v>
      </c>
      <c r="E82" s="10">
        <f>IFERROR(VLOOKUP(Data.[[#This Row],[Código]],BV!A:C,3,0),"")</f>
        <v>0</v>
      </c>
      <c r="F82" s="53">
        <v>5860545</v>
      </c>
      <c r="G82" s="8" t="s">
        <v>774</v>
      </c>
      <c r="H82" s="8">
        <v>20611450746</v>
      </c>
      <c r="I82" s="8" t="s">
        <v>769</v>
      </c>
      <c r="J82" s="8" t="s">
        <v>770</v>
      </c>
      <c r="K82" s="53" t="str">
        <f>IF(Data.[[#This Row],[Tipo de Venta]]&lt;&gt;"POS","Atendido",IF(Data.[[#This Row],[Fecha de Instalación]]&lt;&gt;"","Atendido","Ingresado"))</f>
        <v>Atendido</v>
      </c>
      <c r="L82" s="53" t="str">
        <f>Data.[[#This Row],[Estado]]</f>
        <v>Atendido</v>
      </c>
      <c r="M82" s="8" t="s">
        <v>33</v>
      </c>
      <c r="N82" s="53" t="str">
        <f>IFERROR(VLOOKUP(Data.[[#This Row],[Código LT]],Reportería.[],20,0),"")</f>
        <v/>
      </c>
      <c r="O82" s="53" t="str">
        <f>IFERROR(VLOOKUP(Data.[[#This Row],[Código LT]],Reportería.[],5,0),"")</f>
        <v/>
      </c>
      <c r="P82" s="11">
        <f>Data.[[#This Row],[GPV Mensual LT]]/COUNTIFS(H:H,Data.[[#This Row],[Ruc]],B:B,Data.[[#This Row],[Periodo]])</f>
        <v>31250</v>
      </c>
      <c r="Q82" s="11">
        <v>250000</v>
      </c>
      <c r="R82" s="8" t="s">
        <v>52</v>
      </c>
      <c r="S82" s="53" t="str">
        <f>VLOOKUP(Data.[[#This Row],[Ejecutivo]],Productividad!D:N,11,0)</f>
        <v>47045287</v>
      </c>
      <c r="T82" s="54" t="str">
        <f>VLOOKUP(Data.[[#This Row],[DNI Ejecutivo]],Productividad!C:U,8,0)</f>
        <v>asifuentesu@lozapay.com.pe</v>
      </c>
      <c r="U82" s="53" t="str">
        <f>VLOOKUP(Data.[[#This Row],[DNI Ejecutivo]],Productividad!C:U,4,0)</f>
        <v>Elite</v>
      </c>
      <c r="V82" s="53" t="str">
        <f>IFERROR(VLOOKUP(Data.[[#This Row],[DNI Ejecutivo]],Ejecutivos.[],11,0),"")</f>
        <v>Norte Fuentes</v>
      </c>
      <c r="W82" s="8" t="s">
        <v>42</v>
      </c>
      <c r="X82" s="53" t="str" cm="1">
        <f t="array" ref="X82">IFERROR(_xlfn.IFS(Data.[[#This Row],[Supervisor]]="Jonathan Lapoint","Norte",Data.[[#This Row],[Supervisor]]="Jorge Fuentes","Norte"),"Lima")</f>
        <v>Norte</v>
      </c>
      <c r="Y82" s="53" t="str">
        <f>VLOOKUP(Data.[[#This Row],[Supervisor]],Ejecutivos!B:S,17,0)</f>
        <v>70059865</v>
      </c>
      <c r="Z82" s="54" t="str">
        <f>VLOOKUP(Data.[[#This Row],[DNI Supervisor]],Productividad!C:U,8,0)</f>
        <v>jfuentes@lozapay.com.pe</v>
      </c>
      <c r="AA82" s="8"/>
      <c r="AB82" s="8" t="s">
        <v>295</v>
      </c>
      <c r="AC82" s="53" t="str">
        <f>IFERROR(CONCATENATE(Data.[[#This Row],[DNI Ejecutivo]],Data.[[#This Row],[Periodo]]),"")</f>
        <v>4704528746174</v>
      </c>
      <c r="AD82" s="53" t="str">
        <f>IFERROR(VLOOKUP(Data.[[#This Row],[Código LT]],Reportería.[],10,0),"")</f>
        <v/>
      </c>
      <c r="AE82" s="53" t="str">
        <f>IFERROR(VLOOKUP(Data.[[#This Row],[Código LT]],Reportería.[],11,0),"")</f>
        <v/>
      </c>
      <c r="AF82" s="13">
        <f>IFERROR(VLOOKUP(Data.[[#This Row],[Código]],Reportería!A:BV,57,0),0)</f>
        <v>0</v>
      </c>
      <c r="AG82" s="13"/>
      <c r="AH82" s="13"/>
      <c r="AI82" s="11">
        <f>IF(TEXT(Data.[[#This Row],[Periodo]],"mmm-yy")="may-26",VLOOKUP(Data.[[#This Row],[Código]],Reportería!A:BV,57,0),0)</f>
        <v>0</v>
      </c>
      <c r="AJ82" s="11"/>
      <c r="AK82" s="11"/>
      <c r="AL82" s="11">
        <f>IF(Data.[[#This Row],[Vol M0]]="",0,0)</f>
        <v>0</v>
      </c>
      <c r="AM82" s="11">
        <f>IF(Data.[[#This Row],[Vol M0]]="",0,0)</f>
        <v>0</v>
      </c>
      <c r="AN82" s="11">
        <f>IF(Data.[[#This Row],[Vol M0]]="",0,0)</f>
        <v>0</v>
      </c>
      <c r="AO82" s="11">
        <f>IF(Data.[[#This Row],[Vol M0]]="",0,0)</f>
        <v>0</v>
      </c>
      <c r="AP82" s="11">
        <f>IF(Data.[[#This Row],[Vol M0]]="",0,0)</f>
        <v>0</v>
      </c>
      <c r="AQ82" s="11">
        <f>IF(Data.[[#This Row],[Vol M0]]="",0,0)</f>
        <v>0</v>
      </c>
      <c r="AR82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83" spans="1:44" ht="14.25" customHeight="1">
      <c r="A83" s="53" t="str">
        <f>CONCATENATE(Data.[[#This Row],[Código]],Data.[[#This Row],[Ruc]])</f>
        <v>586349920611450746</v>
      </c>
      <c r="B83" s="9">
        <v>46174</v>
      </c>
      <c r="C83" s="53" t="str">
        <f>IFERROR(VLOOKUP(Data.[[#This Row],[Código LT]],Reportería.[],71,0),"")</f>
        <v/>
      </c>
      <c r="D83" s="10">
        <f>IFERROR(VLOOKUP(Data.[[#This Row],[Código]],BV!A:C,2,0),"")</f>
        <v>46177</v>
      </c>
      <c r="E83" s="10">
        <f>IFERROR(VLOOKUP(Data.[[#This Row],[Código]],BV!A:C,3,0),"")</f>
        <v>0</v>
      </c>
      <c r="F83" s="53">
        <v>5863499</v>
      </c>
      <c r="G83" s="8" t="s">
        <v>775</v>
      </c>
      <c r="H83" s="8">
        <v>20611450746</v>
      </c>
      <c r="I83" s="8" t="s">
        <v>769</v>
      </c>
      <c r="J83" s="8" t="s">
        <v>770</v>
      </c>
      <c r="K83" s="53" t="str">
        <f>IF(Data.[[#This Row],[Tipo de Venta]]&lt;&gt;"POS","Atendido",IF(Data.[[#This Row],[Fecha de Instalación]]&lt;&gt;"","Atendido","Ingresado"))</f>
        <v>Atendido</v>
      </c>
      <c r="L83" s="53" t="str">
        <f>Data.[[#This Row],[Estado]]</f>
        <v>Atendido</v>
      </c>
      <c r="M83" s="8" t="s">
        <v>33</v>
      </c>
      <c r="N83" s="53" t="str">
        <f>IFERROR(VLOOKUP(Data.[[#This Row],[Código LT]],Reportería.[],20,0),"")</f>
        <v/>
      </c>
      <c r="O83" s="53" t="str">
        <f>IFERROR(VLOOKUP(Data.[[#This Row],[Código LT]],Reportería.[],5,0),"")</f>
        <v/>
      </c>
      <c r="P83" s="11">
        <f>Data.[[#This Row],[GPV Mensual LT]]/COUNTIFS(H:H,Data.[[#This Row],[Ruc]],B:B,Data.[[#This Row],[Periodo]])</f>
        <v>31250</v>
      </c>
      <c r="Q83" s="11">
        <v>250000</v>
      </c>
      <c r="R83" s="8" t="s">
        <v>52</v>
      </c>
      <c r="S83" s="53" t="str">
        <f>VLOOKUP(Data.[[#This Row],[Ejecutivo]],Productividad!D:N,11,0)</f>
        <v>47045287</v>
      </c>
      <c r="T83" s="54" t="str">
        <f>VLOOKUP(Data.[[#This Row],[DNI Ejecutivo]],Productividad!C:U,8,0)</f>
        <v>asifuentesu@lozapay.com.pe</v>
      </c>
      <c r="U83" s="53" t="str">
        <f>VLOOKUP(Data.[[#This Row],[DNI Ejecutivo]],Productividad!C:U,4,0)</f>
        <v>Elite</v>
      </c>
      <c r="V83" s="53" t="str">
        <f>IFERROR(VLOOKUP(Data.[[#This Row],[DNI Ejecutivo]],Ejecutivos.[],11,0),"")</f>
        <v>Norte Fuentes</v>
      </c>
      <c r="W83" s="8" t="s">
        <v>42</v>
      </c>
      <c r="X83" s="53" t="str" cm="1">
        <f t="array" ref="X83">IFERROR(_xlfn.IFS(Data.[[#This Row],[Supervisor]]="Jonathan Lapoint","Norte",Data.[[#This Row],[Supervisor]]="Jorge Fuentes","Norte"),"Lima")</f>
        <v>Norte</v>
      </c>
      <c r="Y83" s="53" t="str">
        <f>VLOOKUP(Data.[[#This Row],[Supervisor]],Ejecutivos!B:S,17,0)</f>
        <v>70059865</v>
      </c>
      <c r="Z83" s="54" t="str">
        <f>VLOOKUP(Data.[[#This Row],[DNI Supervisor]],Productividad!C:U,8,0)</f>
        <v>jfuentes@lozapay.com.pe</v>
      </c>
      <c r="AA83" s="8"/>
      <c r="AB83" s="8" t="s">
        <v>295</v>
      </c>
      <c r="AC83" s="53" t="str">
        <f>IFERROR(CONCATENATE(Data.[[#This Row],[DNI Ejecutivo]],Data.[[#This Row],[Periodo]]),"")</f>
        <v>4704528746174</v>
      </c>
      <c r="AD83" s="53" t="str">
        <f>IFERROR(VLOOKUP(Data.[[#This Row],[Código LT]],Reportería.[],10,0),"")</f>
        <v/>
      </c>
      <c r="AE83" s="53" t="str">
        <f>IFERROR(VLOOKUP(Data.[[#This Row],[Código LT]],Reportería.[],11,0),"")</f>
        <v/>
      </c>
      <c r="AF83" s="13">
        <f>IFERROR(VLOOKUP(Data.[[#This Row],[Código]],Reportería!A:BV,57,0),0)</f>
        <v>0</v>
      </c>
      <c r="AG83" s="13"/>
      <c r="AH83" s="13"/>
      <c r="AI83" s="11">
        <f>IF(TEXT(Data.[[#This Row],[Periodo]],"mmm-yy")="may-26",VLOOKUP(Data.[[#This Row],[Código]],Reportería!A:BV,57,0),0)</f>
        <v>0</v>
      </c>
      <c r="AJ83" s="11"/>
      <c r="AK83" s="11"/>
      <c r="AL83" s="11">
        <f>IF(Data.[[#This Row],[Vol M0]]="",0,0)</f>
        <v>0</v>
      </c>
      <c r="AM83" s="11">
        <f>IF(Data.[[#This Row],[Vol M0]]="",0,0)</f>
        <v>0</v>
      </c>
      <c r="AN83" s="11">
        <f>IF(Data.[[#This Row],[Vol M0]]="",0,0)</f>
        <v>0</v>
      </c>
      <c r="AO83" s="11">
        <f>IF(Data.[[#This Row],[Vol M0]]="",0,0)</f>
        <v>0</v>
      </c>
      <c r="AP83" s="11">
        <f>IF(Data.[[#This Row],[Vol M0]]="",0,0)</f>
        <v>0</v>
      </c>
      <c r="AQ83" s="11">
        <f>IF(Data.[[#This Row],[Vol M0]]="",0,0)</f>
        <v>0</v>
      </c>
      <c r="AR83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84" spans="1:44" ht="14.25" customHeight="1">
      <c r="A84" s="53" t="str">
        <f>CONCATENATE(Data.[[#This Row],[Código]],Data.[[#This Row],[Ruc]])</f>
        <v>586349520611450746</v>
      </c>
      <c r="B84" s="9">
        <v>46174</v>
      </c>
      <c r="C84" s="53" t="str">
        <f>IFERROR(VLOOKUP(Data.[[#This Row],[Código LT]],Reportería.[],71,0),"")</f>
        <v/>
      </c>
      <c r="D84" s="10">
        <f>IFERROR(VLOOKUP(Data.[[#This Row],[Código]],BV!A:C,2,0),"")</f>
        <v>46177</v>
      </c>
      <c r="E84" s="10">
        <f>IFERROR(VLOOKUP(Data.[[#This Row],[Código]],BV!A:C,3,0),"")</f>
        <v>0</v>
      </c>
      <c r="F84" s="53">
        <v>5863495</v>
      </c>
      <c r="G84" s="8" t="s">
        <v>776</v>
      </c>
      <c r="H84" s="8">
        <v>20611450746</v>
      </c>
      <c r="I84" s="8" t="s">
        <v>769</v>
      </c>
      <c r="J84" s="8" t="s">
        <v>770</v>
      </c>
      <c r="K84" s="53" t="str">
        <f>IF(Data.[[#This Row],[Tipo de Venta]]&lt;&gt;"POS","Atendido",IF(Data.[[#This Row],[Fecha de Instalación]]&lt;&gt;"","Atendido","Ingresado"))</f>
        <v>Atendido</v>
      </c>
      <c r="L84" s="53" t="str">
        <f>Data.[[#This Row],[Estado]]</f>
        <v>Atendido</v>
      </c>
      <c r="M84" s="8" t="s">
        <v>33</v>
      </c>
      <c r="N84" s="53" t="str">
        <f>IFERROR(VLOOKUP(Data.[[#This Row],[Código LT]],Reportería.[],20,0),"")</f>
        <v/>
      </c>
      <c r="O84" s="53" t="str">
        <f>IFERROR(VLOOKUP(Data.[[#This Row],[Código LT]],Reportería.[],5,0),"")</f>
        <v/>
      </c>
      <c r="P84" s="11">
        <f>Data.[[#This Row],[GPV Mensual LT]]/COUNTIFS(H:H,Data.[[#This Row],[Ruc]],B:B,Data.[[#This Row],[Periodo]])</f>
        <v>31250</v>
      </c>
      <c r="Q84" s="11">
        <v>250000</v>
      </c>
      <c r="R84" s="8" t="s">
        <v>52</v>
      </c>
      <c r="S84" s="53" t="str">
        <f>VLOOKUP(Data.[[#This Row],[Ejecutivo]],Productividad!D:N,11,0)</f>
        <v>47045287</v>
      </c>
      <c r="T84" s="54" t="str">
        <f>VLOOKUP(Data.[[#This Row],[DNI Ejecutivo]],Productividad!C:U,8,0)</f>
        <v>asifuentesu@lozapay.com.pe</v>
      </c>
      <c r="U84" s="53" t="str">
        <f>VLOOKUP(Data.[[#This Row],[DNI Ejecutivo]],Productividad!C:U,4,0)</f>
        <v>Elite</v>
      </c>
      <c r="V84" s="53" t="str">
        <f>IFERROR(VLOOKUP(Data.[[#This Row],[DNI Ejecutivo]],Ejecutivos.[],11,0),"")</f>
        <v>Norte Fuentes</v>
      </c>
      <c r="W84" s="8" t="s">
        <v>42</v>
      </c>
      <c r="X84" s="53" t="str" cm="1">
        <f t="array" ref="X84">IFERROR(_xlfn.IFS(Data.[[#This Row],[Supervisor]]="Jonathan Lapoint","Norte",Data.[[#This Row],[Supervisor]]="Jorge Fuentes","Norte"),"Lima")</f>
        <v>Norte</v>
      </c>
      <c r="Y84" s="53" t="str">
        <f>VLOOKUP(Data.[[#This Row],[Supervisor]],Ejecutivos!B:S,17,0)</f>
        <v>70059865</v>
      </c>
      <c r="Z84" s="54" t="str">
        <f>VLOOKUP(Data.[[#This Row],[DNI Supervisor]],Productividad!C:U,8,0)</f>
        <v>jfuentes@lozapay.com.pe</v>
      </c>
      <c r="AA84" s="8"/>
      <c r="AB84" s="8" t="s">
        <v>295</v>
      </c>
      <c r="AC84" s="53" t="str">
        <f>IFERROR(CONCATENATE(Data.[[#This Row],[DNI Ejecutivo]],Data.[[#This Row],[Periodo]]),"")</f>
        <v>4704528746174</v>
      </c>
      <c r="AD84" s="53" t="str">
        <f>IFERROR(VLOOKUP(Data.[[#This Row],[Código LT]],Reportería.[],10,0),"")</f>
        <v/>
      </c>
      <c r="AE84" s="53" t="str">
        <f>IFERROR(VLOOKUP(Data.[[#This Row],[Código LT]],Reportería.[],11,0),"")</f>
        <v/>
      </c>
      <c r="AF84" s="13">
        <f>IFERROR(VLOOKUP(Data.[[#This Row],[Código]],Reportería!A:BV,57,0),0)</f>
        <v>0</v>
      </c>
      <c r="AG84" s="13"/>
      <c r="AH84" s="13"/>
      <c r="AI84" s="11">
        <f>IF(TEXT(Data.[[#This Row],[Periodo]],"mmm-yy")="may-26",VLOOKUP(Data.[[#This Row],[Código]],Reportería!A:BV,57,0),0)</f>
        <v>0</v>
      </c>
      <c r="AJ84" s="11"/>
      <c r="AK84" s="11"/>
      <c r="AL84" s="11">
        <f>IF(Data.[[#This Row],[Vol M0]]="",0,0)</f>
        <v>0</v>
      </c>
      <c r="AM84" s="11">
        <f>IF(Data.[[#This Row],[Vol M0]]="",0,0)</f>
        <v>0</v>
      </c>
      <c r="AN84" s="11">
        <f>IF(Data.[[#This Row],[Vol M0]]="",0,0)</f>
        <v>0</v>
      </c>
      <c r="AO84" s="11">
        <f>IF(Data.[[#This Row],[Vol M0]]="",0,0)</f>
        <v>0</v>
      </c>
      <c r="AP84" s="11">
        <f>IF(Data.[[#This Row],[Vol M0]]="",0,0)</f>
        <v>0</v>
      </c>
      <c r="AQ84" s="11">
        <f>IF(Data.[[#This Row],[Vol M0]]="",0,0)</f>
        <v>0</v>
      </c>
      <c r="AR84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85" spans="1:44" ht="14.25" customHeight="1">
      <c r="A85" s="53" t="str">
        <f>CONCATENATE(Data.[[#This Row],[Código]],Data.[[#This Row],[Ruc]])</f>
        <v>586355420611450746</v>
      </c>
      <c r="B85" s="9">
        <v>46174</v>
      </c>
      <c r="C85" s="53" t="str">
        <f>IFERROR(VLOOKUP(Data.[[#This Row],[Código LT]],Reportería.[],71,0),"")</f>
        <v/>
      </c>
      <c r="D85" s="10">
        <f>IFERROR(VLOOKUP(Data.[[#This Row],[Código]],BV!A:C,2,0),"")</f>
        <v>46177</v>
      </c>
      <c r="E85" s="10">
        <f>IFERROR(VLOOKUP(Data.[[#This Row],[Código]],BV!A:C,3,0),"")</f>
        <v>0</v>
      </c>
      <c r="F85" s="53">
        <v>5863554</v>
      </c>
      <c r="G85" s="8" t="s">
        <v>777</v>
      </c>
      <c r="H85" s="8">
        <v>20611450746</v>
      </c>
      <c r="I85" s="8" t="s">
        <v>769</v>
      </c>
      <c r="J85" s="8" t="s">
        <v>770</v>
      </c>
      <c r="K85" s="53" t="str">
        <f>IF(Data.[[#This Row],[Tipo de Venta]]&lt;&gt;"POS","Atendido",IF(Data.[[#This Row],[Fecha de Instalación]]&lt;&gt;"","Atendido","Ingresado"))</f>
        <v>Atendido</v>
      </c>
      <c r="L85" s="53" t="str">
        <f>Data.[[#This Row],[Estado]]</f>
        <v>Atendido</v>
      </c>
      <c r="M85" s="8" t="s">
        <v>33</v>
      </c>
      <c r="N85" s="53" t="str">
        <f>IFERROR(VLOOKUP(Data.[[#This Row],[Código LT]],Reportería.[],20,0),"")</f>
        <v/>
      </c>
      <c r="O85" s="53" t="str">
        <f>IFERROR(VLOOKUP(Data.[[#This Row],[Código LT]],Reportería.[],5,0),"")</f>
        <v/>
      </c>
      <c r="P85" s="11">
        <f>Data.[[#This Row],[GPV Mensual LT]]/COUNTIFS(H:H,Data.[[#This Row],[Ruc]],B:B,Data.[[#This Row],[Periodo]])</f>
        <v>31250</v>
      </c>
      <c r="Q85" s="11">
        <v>250000</v>
      </c>
      <c r="R85" s="8" t="s">
        <v>52</v>
      </c>
      <c r="S85" s="53" t="str">
        <f>VLOOKUP(Data.[[#This Row],[Ejecutivo]],Productividad!D:N,11,0)</f>
        <v>47045287</v>
      </c>
      <c r="T85" s="54" t="str">
        <f>VLOOKUP(Data.[[#This Row],[DNI Ejecutivo]],Productividad!C:U,8,0)</f>
        <v>asifuentesu@lozapay.com.pe</v>
      </c>
      <c r="U85" s="53" t="str">
        <f>VLOOKUP(Data.[[#This Row],[DNI Ejecutivo]],Productividad!C:U,4,0)</f>
        <v>Elite</v>
      </c>
      <c r="V85" s="53" t="str">
        <f>IFERROR(VLOOKUP(Data.[[#This Row],[DNI Ejecutivo]],Ejecutivos.[],11,0),"")</f>
        <v>Norte Fuentes</v>
      </c>
      <c r="W85" s="8" t="s">
        <v>42</v>
      </c>
      <c r="X85" s="53" t="str" cm="1">
        <f t="array" ref="X85">IFERROR(_xlfn.IFS(Data.[[#This Row],[Supervisor]]="Jonathan Lapoint","Norte",Data.[[#This Row],[Supervisor]]="Jorge Fuentes","Norte"),"Lima")</f>
        <v>Norte</v>
      </c>
      <c r="Y85" s="53" t="str">
        <f>VLOOKUP(Data.[[#This Row],[Supervisor]],Ejecutivos!B:S,17,0)</f>
        <v>70059865</v>
      </c>
      <c r="Z85" s="54" t="str">
        <f>VLOOKUP(Data.[[#This Row],[DNI Supervisor]],Productividad!C:U,8,0)</f>
        <v>jfuentes@lozapay.com.pe</v>
      </c>
      <c r="AA85" s="8"/>
      <c r="AB85" s="8" t="s">
        <v>295</v>
      </c>
      <c r="AC85" s="53" t="str">
        <f>IFERROR(CONCATENATE(Data.[[#This Row],[DNI Ejecutivo]],Data.[[#This Row],[Periodo]]),"")</f>
        <v>4704528746174</v>
      </c>
      <c r="AD85" s="53" t="str">
        <f>IFERROR(VLOOKUP(Data.[[#This Row],[Código LT]],Reportería.[],10,0),"")</f>
        <v/>
      </c>
      <c r="AE85" s="53" t="str">
        <f>IFERROR(VLOOKUP(Data.[[#This Row],[Código LT]],Reportería.[],11,0),"")</f>
        <v/>
      </c>
      <c r="AF85" s="13">
        <f>IFERROR(VLOOKUP(Data.[[#This Row],[Código]],Reportería!A:BV,57,0),0)</f>
        <v>0</v>
      </c>
      <c r="AG85" s="13"/>
      <c r="AH85" s="13"/>
      <c r="AI85" s="11">
        <f>IF(TEXT(Data.[[#This Row],[Periodo]],"mmm-yy")="may-26",VLOOKUP(Data.[[#This Row],[Código]],Reportería!A:BV,57,0),0)</f>
        <v>0</v>
      </c>
      <c r="AJ85" s="11"/>
      <c r="AK85" s="11"/>
      <c r="AL85" s="11">
        <f>IF(Data.[[#This Row],[Vol M0]]="",0,0)</f>
        <v>0</v>
      </c>
      <c r="AM85" s="11">
        <f>IF(Data.[[#This Row],[Vol M0]]="",0,0)</f>
        <v>0</v>
      </c>
      <c r="AN85" s="11">
        <f>IF(Data.[[#This Row],[Vol M0]]="",0,0)</f>
        <v>0</v>
      </c>
      <c r="AO85" s="11">
        <f>IF(Data.[[#This Row],[Vol M0]]="",0,0)</f>
        <v>0</v>
      </c>
      <c r="AP85" s="11">
        <f>IF(Data.[[#This Row],[Vol M0]]="",0,0)</f>
        <v>0</v>
      </c>
      <c r="AQ85" s="11">
        <f>IF(Data.[[#This Row],[Vol M0]]="",0,0)</f>
        <v>0</v>
      </c>
      <c r="AR85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86" spans="1:44" ht="14.25" customHeight="1">
      <c r="A86" s="53" t="str">
        <f>CONCATENATE(Data.[[#This Row],[Código]],Data.[[#This Row],[Ruc]])</f>
        <v>589114120615004899</v>
      </c>
      <c r="B86" s="9">
        <v>46174</v>
      </c>
      <c r="C86" s="53" t="str">
        <f>IFERROR(VLOOKUP(Data.[[#This Row],[Código LT]],Reportería.[],71,0),"")</f>
        <v/>
      </c>
      <c r="D86" s="10">
        <f>IFERROR(VLOOKUP(Data.[[#This Row],[Código]],BV!A:C,2,0),"")</f>
        <v>46177</v>
      </c>
      <c r="E86" s="10">
        <f>IFERROR(VLOOKUP(Data.[[#This Row],[Código]],BV!A:C,3,0),"")</f>
        <v>0</v>
      </c>
      <c r="F86" s="53">
        <v>5891141</v>
      </c>
      <c r="G86" s="8">
        <v>58820642</v>
      </c>
      <c r="H86" s="8">
        <v>20615004899</v>
      </c>
      <c r="I86" s="8" t="s">
        <v>778</v>
      </c>
      <c r="J86" s="8" t="s">
        <v>779</v>
      </c>
      <c r="K86" s="53" t="str">
        <f>IF(Data.[[#This Row],[Tipo de Venta]]&lt;&gt;"POS","Atendido",IF(Data.[[#This Row],[Fecha de Instalación]]&lt;&gt;"","Atendido","Ingresado"))</f>
        <v>Atendido</v>
      </c>
      <c r="L86" s="53" t="str">
        <f>Data.[[#This Row],[Estado]]</f>
        <v>Atendido</v>
      </c>
      <c r="M86" s="8" t="s">
        <v>33</v>
      </c>
      <c r="N86" s="53" t="str">
        <f>IFERROR(VLOOKUP(Data.[[#This Row],[Código LT]],Reportería.[],20,0),"")</f>
        <v/>
      </c>
      <c r="O86" s="53" t="str">
        <f>IFERROR(VLOOKUP(Data.[[#This Row],[Código LT]],Reportería.[],5,0),"")</f>
        <v/>
      </c>
      <c r="P86" s="11">
        <f>Data.[[#This Row],[GPV Mensual LT]]/COUNTIFS(H:H,Data.[[#This Row],[Ruc]],B:B,Data.[[#This Row],[Periodo]])</f>
        <v>60000</v>
      </c>
      <c r="Q86" s="11">
        <v>240000</v>
      </c>
      <c r="R86" s="8" t="s">
        <v>52</v>
      </c>
      <c r="S86" s="53" t="str">
        <f>VLOOKUP(Data.[[#This Row],[Ejecutivo]],Productividad!D:N,11,0)</f>
        <v>47045287</v>
      </c>
      <c r="T86" s="54" t="str">
        <f>VLOOKUP(Data.[[#This Row],[DNI Ejecutivo]],Productividad!C:U,8,0)</f>
        <v>asifuentesu@lozapay.com.pe</v>
      </c>
      <c r="U86" s="53" t="str">
        <f>VLOOKUP(Data.[[#This Row],[DNI Ejecutivo]],Productividad!C:U,4,0)</f>
        <v>Elite</v>
      </c>
      <c r="V86" s="53" t="str">
        <f>IFERROR(VLOOKUP(Data.[[#This Row],[DNI Ejecutivo]],Ejecutivos.[],11,0),"")</f>
        <v>Norte Fuentes</v>
      </c>
      <c r="W86" s="8" t="s">
        <v>42</v>
      </c>
      <c r="X86" s="53" t="str" cm="1">
        <f t="array" ref="X86">IFERROR(_xlfn.IFS(Data.[[#This Row],[Supervisor]]="Jonathan Lapoint","Norte",Data.[[#This Row],[Supervisor]]="Jorge Fuentes","Norte"),"Lima")</f>
        <v>Norte</v>
      </c>
      <c r="Y86" s="53" t="str">
        <f>VLOOKUP(Data.[[#This Row],[Supervisor]],Ejecutivos!B:S,17,0)</f>
        <v>70059865</v>
      </c>
      <c r="Z86" s="54" t="str">
        <f>VLOOKUP(Data.[[#This Row],[DNI Supervisor]],Productividad!C:U,8,0)</f>
        <v>jfuentes@lozapay.com.pe</v>
      </c>
      <c r="AA86" s="8"/>
      <c r="AB86" s="8" t="s">
        <v>295</v>
      </c>
      <c r="AC86" s="53" t="str">
        <f>IFERROR(CONCATENATE(Data.[[#This Row],[DNI Ejecutivo]],Data.[[#This Row],[Periodo]]),"")</f>
        <v>4704528746174</v>
      </c>
      <c r="AD86" s="53" t="str">
        <f>IFERROR(VLOOKUP(Data.[[#This Row],[Código LT]],Reportería.[],10,0),"")</f>
        <v/>
      </c>
      <c r="AE86" s="53" t="str">
        <f>IFERROR(VLOOKUP(Data.[[#This Row],[Código LT]],Reportería.[],11,0),"")</f>
        <v/>
      </c>
      <c r="AF86" s="13">
        <f>IFERROR(VLOOKUP(Data.[[#This Row],[Código]],Reportería!A:BV,57,0),0)</f>
        <v>0</v>
      </c>
      <c r="AG86" s="13"/>
      <c r="AH86" s="13"/>
      <c r="AI86" s="11">
        <f>IF(TEXT(Data.[[#This Row],[Periodo]],"mmm-yy")="may-26",VLOOKUP(Data.[[#This Row],[Código]],Reportería!A:BV,57,0),0)</f>
        <v>0</v>
      </c>
      <c r="AJ86" s="11"/>
      <c r="AK86" s="11"/>
      <c r="AL86" s="11">
        <f>IF(Data.[[#This Row],[Vol M0]]="",0,0)</f>
        <v>0</v>
      </c>
      <c r="AM86" s="11">
        <f>IF(Data.[[#This Row],[Vol M0]]="",0,0)</f>
        <v>0</v>
      </c>
      <c r="AN86" s="11">
        <f>IF(Data.[[#This Row],[Vol M0]]="",0,0)</f>
        <v>0</v>
      </c>
      <c r="AO86" s="11">
        <f>IF(Data.[[#This Row],[Vol M0]]="",0,0)</f>
        <v>0</v>
      </c>
      <c r="AP86" s="11">
        <f>IF(Data.[[#This Row],[Vol M0]]="",0,0)</f>
        <v>0</v>
      </c>
      <c r="AQ86" s="11">
        <f>IF(Data.[[#This Row],[Vol M0]]="",0,0)</f>
        <v>0</v>
      </c>
      <c r="AR86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87" spans="1:44" ht="14.25" customHeight="1">
      <c r="A87" s="53" t="str">
        <f>CONCATENATE(Data.[[#This Row],[Código]],Data.[[#This Row],[Ruc]])</f>
        <v>589114420615004899</v>
      </c>
      <c r="B87" s="9">
        <v>46174</v>
      </c>
      <c r="C87" s="53" t="str">
        <f>IFERROR(VLOOKUP(Data.[[#This Row],[Código LT]],Reportería.[],71,0),"")</f>
        <v/>
      </c>
      <c r="D87" s="10">
        <f>IFERROR(VLOOKUP(Data.[[#This Row],[Código]],BV!A:C,2,0),"")</f>
        <v>46177</v>
      </c>
      <c r="E87" s="10">
        <f>IFERROR(VLOOKUP(Data.[[#This Row],[Código]],BV!A:C,3,0),"")</f>
        <v>0</v>
      </c>
      <c r="F87" s="53">
        <v>5891144</v>
      </c>
      <c r="G87" s="8">
        <v>58520969</v>
      </c>
      <c r="H87" s="8">
        <v>20615004899</v>
      </c>
      <c r="I87" s="8" t="s">
        <v>778</v>
      </c>
      <c r="J87" s="8" t="s">
        <v>779</v>
      </c>
      <c r="K87" s="53" t="str">
        <f>IF(Data.[[#This Row],[Tipo de Venta]]&lt;&gt;"POS","Atendido",IF(Data.[[#This Row],[Fecha de Instalación]]&lt;&gt;"","Atendido","Ingresado"))</f>
        <v>Atendido</v>
      </c>
      <c r="L87" s="53" t="str">
        <f>Data.[[#This Row],[Estado]]</f>
        <v>Atendido</v>
      </c>
      <c r="M87" s="8" t="s">
        <v>33</v>
      </c>
      <c r="N87" s="53" t="str">
        <f>IFERROR(VLOOKUP(Data.[[#This Row],[Código LT]],Reportería.[],20,0),"")</f>
        <v/>
      </c>
      <c r="O87" s="53" t="str">
        <f>IFERROR(VLOOKUP(Data.[[#This Row],[Código LT]],Reportería.[],5,0),"")</f>
        <v/>
      </c>
      <c r="P87" s="11">
        <f>Data.[[#This Row],[GPV Mensual LT]]/COUNTIFS(H:H,Data.[[#This Row],[Ruc]],B:B,Data.[[#This Row],[Periodo]])</f>
        <v>60000</v>
      </c>
      <c r="Q87" s="11">
        <v>240000</v>
      </c>
      <c r="R87" s="8" t="s">
        <v>52</v>
      </c>
      <c r="S87" s="53" t="str">
        <f>VLOOKUP(Data.[[#This Row],[Ejecutivo]],Productividad!D:N,11,0)</f>
        <v>47045287</v>
      </c>
      <c r="T87" s="54" t="str">
        <f>VLOOKUP(Data.[[#This Row],[DNI Ejecutivo]],Productividad!C:U,8,0)</f>
        <v>asifuentesu@lozapay.com.pe</v>
      </c>
      <c r="U87" s="53" t="str">
        <f>VLOOKUP(Data.[[#This Row],[DNI Ejecutivo]],Productividad!C:U,4,0)</f>
        <v>Elite</v>
      </c>
      <c r="V87" s="53" t="str">
        <f>IFERROR(VLOOKUP(Data.[[#This Row],[DNI Ejecutivo]],Ejecutivos.[],11,0),"")</f>
        <v>Norte Fuentes</v>
      </c>
      <c r="W87" s="8" t="s">
        <v>42</v>
      </c>
      <c r="X87" s="53" t="str" cm="1">
        <f t="array" ref="X87">IFERROR(_xlfn.IFS(Data.[[#This Row],[Supervisor]]="Jonathan Lapoint","Norte",Data.[[#This Row],[Supervisor]]="Jorge Fuentes","Norte"),"Lima")</f>
        <v>Norte</v>
      </c>
      <c r="Y87" s="53" t="str">
        <f>VLOOKUP(Data.[[#This Row],[Supervisor]],Ejecutivos!B:S,17,0)</f>
        <v>70059865</v>
      </c>
      <c r="Z87" s="54" t="str">
        <f>VLOOKUP(Data.[[#This Row],[DNI Supervisor]],Productividad!C:U,8,0)</f>
        <v>jfuentes@lozapay.com.pe</v>
      </c>
      <c r="AA87" s="8"/>
      <c r="AB87" s="8" t="s">
        <v>295</v>
      </c>
      <c r="AC87" s="53" t="str">
        <f>IFERROR(CONCATENATE(Data.[[#This Row],[DNI Ejecutivo]],Data.[[#This Row],[Periodo]]),"")</f>
        <v>4704528746174</v>
      </c>
      <c r="AD87" s="53" t="str">
        <f>IFERROR(VLOOKUP(Data.[[#This Row],[Código LT]],Reportería.[],10,0),"")</f>
        <v/>
      </c>
      <c r="AE87" s="53" t="str">
        <f>IFERROR(VLOOKUP(Data.[[#This Row],[Código LT]],Reportería.[],11,0),"")</f>
        <v/>
      </c>
      <c r="AF87" s="13">
        <f>IFERROR(VLOOKUP(Data.[[#This Row],[Código]],Reportería!A:BV,57,0),0)</f>
        <v>0</v>
      </c>
      <c r="AG87" s="13"/>
      <c r="AH87" s="13"/>
      <c r="AI87" s="11">
        <f>IF(TEXT(Data.[[#This Row],[Periodo]],"mmm-yy")="may-26",VLOOKUP(Data.[[#This Row],[Código]],Reportería!A:BV,57,0),0)</f>
        <v>0</v>
      </c>
      <c r="AJ87" s="11"/>
      <c r="AK87" s="11"/>
      <c r="AL87" s="11">
        <f>IF(Data.[[#This Row],[Vol M0]]="",0,0)</f>
        <v>0</v>
      </c>
      <c r="AM87" s="11">
        <f>IF(Data.[[#This Row],[Vol M0]]="",0,0)</f>
        <v>0</v>
      </c>
      <c r="AN87" s="11">
        <f>IF(Data.[[#This Row],[Vol M0]]="",0,0)</f>
        <v>0</v>
      </c>
      <c r="AO87" s="11">
        <f>IF(Data.[[#This Row],[Vol M0]]="",0,0)</f>
        <v>0</v>
      </c>
      <c r="AP87" s="11">
        <f>IF(Data.[[#This Row],[Vol M0]]="",0,0)</f>
        <v>0</v>
      </c>
      <c r="AQ87" s="11">
        <f>IF(Data.[[#This Row],[Vol M0]]="",0,0)</f>
        <v>0</v>
      </c>
      <c r="AR87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88" spans="1:44" ht="14.25" customHeight="1">
      <c r="A88" s="53" t="str">
        <f>CONCATENATE(Data.[[#This Row],[Código]],Data.[[#This Row],[Ruc]])</f>
        <v>589435120615004899</v>
      </c>
      <c r="B88" s="9">
        <v>46174</v>
      </c>
      <c r="C88" s="53" t="str">
        <f>IFERROR(VLOOKUP(Data.[[#This Row],[Código LT]],Reportería.[],71,0),"")</f>
        <v/>
      </c>
      <c r="D88" s="10">
        <f>IFERROR(VLOOKUP(Data.[[#This Row],[Código]],BV!A:C,2,0),"")</f>
        <v>46177</v>
      </c>
      <c r="E88" s="10">
        <f>IFERROR(VLOOKUP(Data.[[#This Row],[Código]],BV!A:C,3,0),"")</f>
        <v>0</v>
      </c>
      <c r="F88" s="53">
        <v>5894351</v>
      </c>
      <c r="G88" s="8">
        <v>58820503</v>
      </c>
      <c r="H88" s="8">
        <v>20615004899</v>
      </c>
      <c r="I88" s="8" t="s">
        <v>778</v>
      </c>
      <c r="J88" s="8" t="s">
        <v>779</v>
      </c>
      <c r="K88" s="53" t="str">
        <f>IF(Data.[[#This Row],[Tipo de Venta]]&lt;&gt;"POS","Atendido",IF(Data.[[#This Row],[Fecha de Instalación]]&lt;&gt;"","Atendido","Ingresado"))</f>
        <v>Atendido</v>
      </c>
      <c r="L88" s="53" t="str">
        <f>Data.[[#This Row],[Estado]]</f>
        <v>Atendido</v>
      </c>
      <c r="M88" s="8" t="s">
        <v>33</v>
      </c>
      <c r="N88" s="53" t="str">
        <f>IFERROR(VLOOKUP(Data.[[#This Row],[Código LT]],Reportería.[],20,0),"")</f>
        <v/>
      </c>
      <c r="O88" s="53" t="str">
        <f>IFERROR(VLOOKUP(Data.[[#This Row],[Código LT]],Reportería.[],5,0),"")</f>
        <v/>
      </c>
      <c r="P88" s="11">
        <f>Data.[[#This Row],[GPV Mensual LT]]/COUNTIFS(H:H,Data.[[#This Row],[Ruc]],B:B,Data.[[#This Row],[Periodo]])</f>
        <v>60000</v>
      </c>
      <c r="Q88" s="11">
        <v>240000</v>
      </c>
      <c r="R88" s="8" t="s">
        <v>52</v>
      </c>
      <c r="S88" s="53" t="str">
        <f>VLOOKUP(Data.[[#This Row],[Ejecutivo]],Productividad!D:N,11,0)</f>
        <v>47045287</v>
      </c>
      <c r="T88" s="54" t="str">
        <f>VLOOKUP(Data.[[#This Row],[DNI Ejecutivo]],Productividad!C:U,8,0)</f>
        <v>asifuentesu@lozapay.com.pe</v>
      </c>
      <c r="U88" s="53" t="str">
        <f>VLOOKUP(Data.[[#This Row],[DNI Ejecutivo]],Productividad!C:U,4,0)</f>
        <v>Elite</v>
      </c>
      <c r="V88" s="53" t="str">
        <f>IFERROR(VLOOKUP(Data.[[#This Row],[DNI Ejecutivo]],Ejecutivos.[],11,0),"")</f>
        <v>Norte Fuentes</v>
      </c>
      <c r="W88" s="8" t="s">
        <v>42</v>
      </c>
      <c r="X88" s="53" t="str" cm="1">
        <f t="array" ref="X88">IFERROR(_xlfn.IFS(Data.[[#This Row],[Supervisor]]="Jonathan Lapoint","Norte",Data.[[#This Row],[Supervisor]]="Jorge Fuentes","Norte"),"Lima")</f>
        <v>Norte</v>
      </c>
      <c r="Y88" s="53" t="str">
        <f>VLOOKUP(Data.[[#This Row],[Supervisor]],Ejecutivos!B:S,17,0)</f>
        <v>70059865</v>
      </c>
      <c r="Z88" s="54" t="str">
        <f>VLOOKUP(Data.[[#This Row],[DNI Supervisor]],Productividad!C:U,8,0)</f>
        <v>jfuentes@lozapay.com.pe</v>
      </c>
      <c r="AA88" s="8"/>
      <c r="AB88" s="8" t="s">
        <v>295</v>
      </c>
      <c r="AC88" s="53" t="str">
        <f>IFERROR(CONCATENATE(Data.[[#This Row],[DNI Ejecutivo]],Data.[[#This Row],[Periodo]]),"")</f>
        <v>4704528746174</v>
      </c>
      <c r="AD88" s="53" t="str">
        <f>IFERROR(VLOOKUP(Data.[[#This Row],[Código LT]],Reportería.[],10,0),"")</f>
        <v/>
      </c>
      <c r="AE88" s="53" t="str">
        <f>IFERROR(VLOOKUP(Data.[[#This Row],[Código LT]],Reportería.[],11,0),"")</f>
        <v/>
      </c>
      <c r="AF88" s="13">
        <f>IFERROR(VLOOKUP(Data.[[#This Row],[Código]],Reportería!A:BV,57,0),0)</f>
        <v>0</v>
      </c>
      <c r="AG88" s="13"/>
      <c r="AH88" s="13"/>
      <c r="AI88" s="11">
        <f>IF(TEXT(Data.[[#This Row],[Periodo]],"mmm-yy")="may-26",VLOOKUP(Data.[[#This Row],[Código]],Reportería!A:BV,57,0),0)</f>
        <v>0</v>
      </c>
      <c r="AJ88" s="11"/>
      <c r="AK88" s="11"/>
      <c r="AL88" s="11">
        <f>IF(Data.[[#This Row],[Vol M0]]="",0,0)</f>
        <v>0</v>
      </c>
      <c r="AM88" s="11">
        <f>IF(Data.[[#This Row],[Vol M0]]="",0,0)</f>
        <v>0</v>
      </c>
      <c r="AN88" s="11">
        <f>IF(Data.[[#This Row],[Vol M0]]="",0,0)</f>
        <v>0</v>
      </c>
      <c r="AO88" s="11">
        <f>IF(Data.[[#This Row],[Vol M0]]="",0,0)</f>
        <v>0</v>
      </c>
      <c r="AP88" s="11">
        <f>IF(Data.[[#This Row],[Vol M0]]="",0,0)</f>
        <v>0</v>
      </c>
      <c r="AQ88" s="11">
        <f>IF(Data.[[#This Row],[Vol M0]]="",0,0)</f>
        <v>0</v>
      </c>
      <c r="AR88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89" spans="1:44" ht="14.25" customHeight="1">
      <c r="A89" s="53" t="str">
        <f>CONCATENATE(Data.[[#This Row],[Código]],Data.[[#This Row],[Ruc]])</f>
        <v>589435420615004899</v>
      </c>
      <c r="B89" s="9">
        <v>46174</v>
      </c>
      <c r="C89" s="53" t="str">
        <f>IFERROR(VLOOKUP(Data.[[#This Row],[Código LT]],Reportería.[],71,0),"")</f>
        <v/>
      </c>
      <c r="D89" s="10">
        <f>IFERROR(VLOOKUP(Data.[[#This Row],[Código]],BV!A:C,2,0),"")</f>
        <v>46177</v>
      </c>
      <c r="E89" s="10">
        <f>IFERROR(VLOOKUP(Data.[[#This Row],[Código]],BV!A:C,3,0),"")</f>
        <v>0</v>
      </c>
      <c r="F89" s="53">
        <v>5894354</v>
      </c>
      <c r="G89" s="8">
        <v>58320214</v>
      </c>
      <c r="H89" s="8">
        <v>20615004899</v>
      </c>
      <c r="I89" s="8" t="s">
        <v>778</v>
      </c>
      <c r="J89" s="8" t="s">
        <v>779</v>
      </c>
      <c r="K89" s="53" t="str">
        <f>IF(Data.[[#This Row],[Tipo de Venta]]&lt;&gt;"POS","Atendido",IF(Data.[[#This Row],[Fecha de Instalación]]&lt;&gt;"","Atendido","Ingresado"))</f>
        <v>Atendido</v>
      </c>
      <c r="L89" s="53" t="str">
        <f>Data.[[#This Row],[Estado]]</f>
        <v>Atendido</v>
      </c>
      <c r="M89" s="8" t="s">
        <v>33</v>
      </c>
      <c r="N89" s="53" t="str">
        <f>IFERROR(VLOOKUP(Data.[[#This Row],[Código LT]],Reportería.[],20,0),"")</f>
        <v/>
      </c>
      <c r="O89" s="53" t="str">
        <f>IFERROR(VLOOKUP(Data.[[#This Row],[Código LT]],Reportería.[],5,0),"")</f>
        <v/>
      </c>
      <c r="P89" s="11">
        <f>Data.[[#This Row],[GPV Mensual LT]]/COUNTIFS(H:H,Data.[[#This Row],[Ruc]],B:B,Data.[[#This Row],[Periodo]])</f>
        <v>60000</v>
      </c>
      <c r="Q89" s="11">
        <v>240000</v>
      </c>
      <c r="R89" s="8" t="s">
        <v>52</v>
      </c>
      <c r="S89" s="53" t="str">
        <f>VLOOKUP(Data.[[#This Row],[Ejecutivo]],Productividad!D:N,11,0)</f>
        <v>47045287</v>
      </c>
      <c r="T89" s="54" t="str">
        <f>VLOOKUP(Data.[[#This Row],[DNI Ejecutivo]],Productividad!C:U,8,0)</f>
        <v>asifuentesu@lozapay.com.pe</v>
      </c>
      <c r="U89" s="53" t="str">
        <f>VLOOKUP(Data.[[#This Row],[DNI Ejecutivo]],Productividad!C:U,4,0)</f>
        <v>Elite</v>
      </c>
      <c r="V89" s="53" t="str">
        <f>IFERROR(VLOOKUP(Data.[[#This Row],[DNI Ejecutivo]],Ejecutivos.[],11,0),"")</f>
        <v>Norte Fuentes</v>
      </c>
      <c r="W89" s="8" t="s">
        <v>42</v>
      </c>
      <c r="X89" s="53" t="str" cm="1">
        <f t="array" ref="X89">IFERROR(_xlfn.IFS(Data.[[#This Row],[Supervisor]]="Jonathan Lapoint","Norte",Data.[[#This Row],[Supervisor]]="Jorge Fuentes","Norte"),"Lima")</f>
        <v>Norte</v>
      </c>
      <c r="Y89" s="53" t="str">
        <f>VLOOKUP(Data.[[#This Row],[Supervisor]],Ejecutivos!B:S,17,0)</f>
        <v>70059865</v>
      </c>
      <c r="Z89" s="54" t="str">
        <f>VLOOKUP(Data.[[#This Row],[DNI Supervisor]],Productividad!C:U,8,0)</f>
        <v>jfuentes@lozapay.com.pe</v>
      </c>
      <c r="AA89" s="8"/>
      <c r="AB89" s="8" t="s">
        <v>295</v>
      </c>
      <c r="AC89" s="53" t="str">
        <f>IFERROR(CONCATENATE(Data.[[#This Row],[DNI Ejecutivo]],Data.[[#This Row],[Periodo]]),"")</f>
        <v>4704528746174</v>
      </c>
      <c r="AD89" s="53" t="str">
        <f>IFERROR(VLOOKUP(Data.[[#This Row],[Código LT]],Reportería.[],10,0),"")</f>
        <v/>
      </c>
      <c r="AE89" s="53" t="str">
        <f>IFERROR(VLOOKUP(Data.[[#This Row],[Código LT]],Reportería.[],11,0),"")</f>
        <v/>
      </c>
      <c r="AF89" s="13">
        <f>IFERROR(VLOOKUP(Data.[[#This Row],[Código]],Reportería!A:BV,57,0),0)</f>
        <v>0</v>
      </c>
      <c r="AG89" s="13"/>
      <c r="AH89" s="13"/>
      <c r="AI89" s="11">
        <f>IF(TEXT(Data.[[#This Row],[Periodo]],"mmm-yy")="may-26",VLOOKUP(Data.[[#This Row],[Código]],Reportería!A:BV,57,0),0)</f>
        <v>0</v>
      </c>
      <c r="AJ89" s="11"/>
      <c r="AK89" s="11"/>
      <c r="AL89" s="11">
        <f>IF(Data.[[#This Row],[Vol M0]]="",0,0)</f>
        <v>0</v>
      </c>
      <c r="AM89" s="11">
        <f>IF(Data.[[#This Row],[Vol M0]]="",0,0)</f>
        <v>0</v>
      </c>
      <c r="AN89" s="11">
        <f>IF(Data.[[#This Row],[Vol M0]]="",0,0)</f>
        <v>0</v>
      </c>
      <c r="AO89" s="11">
        <f>IF(Data.[[#This Row],[Vol M0]]="",0,0)</f>
        <v>0</v>
      </c>
      <c r="AP89" s="11">
        <f>IF(Data.[[#This Row],[Vol M0]]="",0,0)</f>
        <v>0</v>
      </c>
      <c r="AQ89" s="11">
        <f>IF(Data.[[#This Row],[Vol M0]]="",0,0)</f>
        <v>0</v>
      </c>
      <c r="AR89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90" spans="1:44" ht="14.25" customHeight="1">
      <c r="A90" s="53" t="str">
        <f>CONCATENATE(Data.[[#This Row],[Código]],Data.[[#This Row],[Ruc]])</f>
        <v>595618020615897435</v>
      </c>
      <c r="B90" s="9">
        <v>46174</v>
      </c>
      <c r="C90" s="53" t="str">
        <f>IFERROR(VLOOKUP(Data.[[#This Row],[Código LT]],Reportería.[],71,0),"")</f>
        <v/>
      </c>
      <c r="D90" s="10">
        <f>IFERROR(VLOOKUP(Data.[[#This Row],[Código]],BV!A:C,2,0),"")</f>
        <v>46178</v>
      </c>
      <c r="E90" s="10">
        <f>IFERROR(VLOOKUP(Data.[[#This Row],[Código]],BV!A:C,3,0),"")</f>
        <v>46178</v>
      </c>
      <c r="F90" s="53">
        <v>5956180</v>
      </c>
      <c r="G90" s="8" t="s">
        <v>780</v>
      </c>
      <c r="H90" s="8">
        <v>20615897435</v>
      </c>
      <c r="I90" s="8" t="s">
        <v>781</v>
      </c>
      <c r="J90" s="8" t="s">
        <v>782</v>
      </c>
      <c r="K90" s="53" t="str">
        <f>IF(Data.[[#This Row],[Tipo de Venta]]&lt;&gt;"POS","Atendido",IF(Data.[[#This Row],[Fecha de Instalación]]&lt;&gt;"","Atendido","Ingresado"))</f>
        <v>Atendido</v>
      </c>
      <c r="L90" s="53" t="str">
        <f>Data.[[#This Row],[Estado]]</f>
        <v>Atendido</v>
      </c>
      <c r="M90" s="8" t="s">
        <v>33</v>
      </c>
      <c r="N90" s="53" t="str">
        <f>IFERROR(VLOOKUP(Data.[[#This Row],[Código LT]],Reportería.[],20,0),"")</f>
        <v/>
      </c>
      <c r="O90" s="53" t="str">
        <f>IFERROR(VLOOKUP(Data.[[#This Row],[Código LT]],Reportería.[],5,0),"")</f>
        <v/>
      </c>
      <c r="P90" s="11">
        <f>Data.[[#This Row],[GPV Mensual LT]]/COUNTIFS(H:H,Data.[[#This Row],[Ruc]],B:B,Data.[[#This Row],[Periodo]])</f>
        <v>30000</v>
      </c>
      <c r="Q90" s="11">
        <v>30000</v>
      </c>
      <c r="R90" s="8" t="s">
        <v>284</v>
      </c>
      <c r="S90" s="53" t="str">
        <f>VLOOKUP(Data.[[#This Row],[Ejecutivo]],Productividad!D:N,11,0)</f>
        <v>71870286</v>
      </c>
      <c r="T90" s="54" t="str">
        <f>VLOOKUP(Data.[[#This Row],[DNI Ejecutivo]],Productividad!C:U,8,0)</f>
        <v>william.cortez@lozapay.com.pe</v>
      </c>
      <c r="U90" s="53" t="str">
        <f>VLOOKUP(Data.[[#This Row],[DNI Ejecutivo]],Productividad!C:U,4,0)</f>
        <v>Senior</v>
      </c>
      <c r="V90" s="53" t="str">
        <f>IFERROR(VLOOKUP(Data.[[#This Row],[DNI Ejecutivo]],Ejecutivos.[],11,0),"")</f>
        <v>Norte Lapoint</v>
      </c>
      <c r="W90" s="8" t="s">
        <v>98</v>
      </c>
      <c r="X90" s="53" t="str" cm="1">
        <f t="array" ref="X90">IFERROR(_xlfn.IFS(Data.[[#This Row],[Supervisor]]="Jonathan Lapoint","Norte",Data.[[#This Row],[Supervisor]]="Jorge Fuentes","Norte"),"Lima")</f>
        <v>Norte</v>
      </c>
      <c r="Y90" s="53" t="str">
        <f>VLOOKUP(Data.[[#This Row],[Supervisor]],Ejecutivos!B:S,17,0)</f>
        <v>70430554</v>
      </c>
      <c r="Z90" s="54" t="str">
        <f>VLOOKUP(Data.[[#This Row],[DNI Supervisor]],Productividad!C:U,8,0)</f>
        <v>jlapointp@lozapay.com.pe</v>
      </c>
      <c r="AA90" s="8"/>
      <c r="AB90" s="8" t="s">
        <v>786</v>
      </c>
      <c r="AC90" s="53" t="str">
        <f>IFERROR(CONCATENATE(Data.[[#This Row],[DNI Ejecutivo]],Data.[[#This Row],[Periodo]]),"")</f>
        <v>7187028646174</v>
      </c>
      <c r="AD90" s="53" t="str">
        <f>IFERROR(VLOOKUP(Data.[[#This Row],[Código LT]],Reportería.[],10,0),"")</f>
        <v/>
      </c>
      <c r="AE90" s="53" t="str">
        <f>IFERROR(VLOOKUP(Data.[[#This Row],[Código LT]],Reportería.[],11,0),"")</f>
        <v/>
      </c>
      <c r="AF90" s="13">
        <f>IFERROR(VLOOKUP(Data.[[#This Row],[Código]],Reportería!A:BV,57,0),0)</f>
        <v>101.2</v>
      </c>
      <c r="AG90" s="13"/>
      <c r="AH90" s="13"/>
      <c r="AI90" s="11">
        <f>IF(TEXT(Data.[[#This Row],[Periodo]],"mmm-yy")="may-26",VLOOKUP(Data.[[#This Row],[Código]],Reportería!A:BV,57,0),0)</f>
        <v>0</v>
      </c>
      <c r="AJ90" s="11"/>
      <c r="AK90" s="11"/>
      <c r="AL90" s="11">
        <f>IF(Data.[[#This Row],[Vol M0]]="",0,0)</f>
        <v>0</v>
      </c>
      <c r="AM90" s="11">
        <f>IF(Data.[[#This Row],[Vol M0]]="",0,0)</f>
        <v>0</v>
      </c>
      <c r="AN90" s="11">
        <f>IF(Data.[[#This Row],[Vol M0]]="",0,0)</f>
        <v>0</v>
      </c>
      <c r="AO90" s="11">
        <f>IF(Data.[[#This Row],[Vol M0]]="",0,0)</f>
        <v>0</v>
      </c>
      <c r="AP90" s="11">
        <f>IF(Data.[[#This Row],[Vol M0]]="",0,0)</f>
        <v>0</v>
      </c>
      <c r="AQ90" s="11">
        <f>IF(Data.[[#This Row],[Vol M0]]="",0,0)</f>
        <v>0</v>
      </c>
      <c r="AR90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91" spans="1:44" ht="14.25" customHeight="1">
      <c r="A91" s="53" t="str">
        <f>CONCATENATE(Data.[[#This Row],[Código]],Data.[[#This Row],[Ruc]])</f>
        <v>105900020172065598</v>
      </c>
      <c r="B91" s="9">
        <v>46174</v>
      </c>
      <c r="C91" s="53" t="str">
        <f>IFERROR(VLOOKUP(Data.[[#This Row],[Código LT]],Reportería.[],71,0),"")</f>
        <v/>
      </c>
      <c r="D91" s="10">
        <f>IFERROR(VLOOKUP(Data.[[#This Row],[Código]],BV!A:C,2,0),"")</f>
        <v>46178</v>
      </c>
      <c r="E91" s="10">
        <f>IFERROR(VLOOKUP(Data.[[#This Row],[Código]],BV!A:C,3,0),"")</f>
        <v>0</v>
      </c>
      <c r="F91" s="53">
        <v>1059000</v>
      </c>
      <c r="G91" s="8"/>
      <c r="H91" s="8">
        <v>20172065598</v>
      </c>
      <c r="I91" s="8" t="s">
        <v>783</v>
      </c>
      <c r="J91" s="8" t="s">
        <v>784</v>
      </c>
      <c r="K91" s="53" t="str">
        <f>IF(Data.[[#This Row],[Tipo de Venta]]&lt;&gt;"POS","Atendido",IF(Data.[[#This Row],[Fecha de Instalación]]&lt;&gt;"","Atendido","Ingresado"))</f>
        <v>Atendido</v>
      </c>
      <c r="L91" s="53" t="str">
        <f>Data.[[#This Row],[Estado]]</f>
        <v>Atendido</v>
      </c>
      <c r="M91" s="8" t="s">
        <v>33</v>
      </c>
      <c r="N91" s="53" t="str">
        <f>IFERROR(VLOOKUP(Data.[[#This Row],[Código LT]],Reportería.[],20,0),"")</f>
        <v/>
      </c>
      <c r="O91" s="53" t="str">
        <f>IFERROR(VLOOKUP(Data.[[#This Row],[Código LT]],Reportería.[],5,0),"")</f>
        <v/>
      </c>
      <c r="P91" s="11">
        <f>Data.[[#This Row],[GPV Mensual LT]]/COUNTIFS(H:H,Data.[[#This Row],[Ruc]],B:B,Data.[[#This Row],[Periodo]])</f>
        <v>50000</v>
      </c>
      <c r="Q91" s="11">
        <v>100000</v>
      </c>
      <c r="R91" s="8" t="s">
        <v>47</v>
      </c>
      <c r="S91" s="53" t="str">
        <f>VLOOKUP(Data.[[#This Row],[Ejecutivo]],Productividad!D:N,11,0)</f>
        <v>44881019</v>
      </c>
      <c r="T91" s="54" t="str">
        <f>VLOOKUP(Data.[[#This Row],[DNI Ejecutivo]],Productividad!C:U,8,0)</f>
        <v>jackeline.matos@lozapay.com.pe</v>
      </c>
      <c r="U91" s="53" t="str">
        <f>VLOOKUP(Data.[[#This Row],[DNI Ejecutivo]],Productividad!C:U,4,0)</f>
        <v>Senior</v>
      </c>
      <c r="V91" s="53" t="str">
        <f>IFERROR(VLOOKUP(Data.[[#This Row],[DNI Ejecutivo]],Ejecutivos.[],11,0),"")</f>
        <v>Lima Hamm</v>
      </c>
      <c r="W91" s="8" t="s">
        <v>48</v>
      </c>
      <c r="X91" s="53" t="str" cm="1">
        <f t="array" ref="X91">IFERROR(_xlfn.IFS(Data.[[#This Row],[Supervisor]]="Jonathan Lapoint","Norte",Data.[[#This Row],[Supervisor]]="Jorge Fuentes","Norte"),"Lima")</f>
        <v>Lima</v>
      </c>
      <c r="Y91" s="53" t="str">
        <f>VLOOKUP(Data.[[#This Row],[Supervisor]],Ejecutivos!B:S,17,0)</f>
        <v>44818200</v>
      </c>
      <c r="Z91" s="54" t="str">
        <f>VLOOKUP(Data.[[#This Row],[DNI Supervisor]],Productividad!C:U,8,0)</f>
        <v>hramirezp@lozapay.com.pe</v>
      </c>
      <c r="AA91" s="8"/>
      <c r="AB91" s="8" t="s">
        <v>49</v>
      </c>
      <c r="AC91" s="53" t="str">
        <f>IFERROR(CONCATENATE(Data.[[#This Row],[DNI Ejecutivo]],Data.[[#This Row],[Periodo]]),"")</f>
        <v>4488101946174</v>
      </c>
      <c r="AD91" s="53" t="str">
        <f>IFERROR(VLOOKUP(Data.[[#This Row],[Código LT]],Reportería.[],10,0),"")</f>
        <v/>
      </c>
      <c r="AE91" s="53" t="str">
        <f>IFERROR(VLOOKUP(Data.[[#This Row],[Código LT]],Reportería.[],11,0),"")</f>
        <v/>
      </c>
      <c r="AF91" s="13">
        <f>IFERROR(VLOOKUP(Data.[[#This Row],[Código]],Reportería!A:BV,57,0),0)</f>
        <v>0</v>
      </c>
      <c r="AG91" s="13"/>
      <c r="AH91" s="13"/>
      <c r="AI91" s="11">
        <f>IF(TEXT(Data.[[#This Row],[Periodo]],"mmm-yy")="may-26",VLOOKUP(Data.[[#This Row],[Código]],Reportería!A:BV,57,0),0)</f>
        <v>0</v>
      </c>
      <c r="AJ91" s="11"/>
      <c r="AK91" s="11"/>
      <c r="AL91" s="11">
        <f>IF(Data.[[#This Row],[Vol M0]]="",0,0)</f>
        <v>0</v>
      </c>
      <c r="AM91" s="11">
        <f>IF(Data.[[#This Row],[Vol M0]]="",0,0)</f>
        <v>0</v>
      </c>
      <c r="AN91" s="11">
        <f>IF(Data.[[#This Row],[Vol M0]]="",0,0)</f>
        <v>0</v>
      </c>
      <c r="AO91" s="11">
        <f>IF(Data.[[#This Row],[Vol M0]]="",0,0)</f>
        <v>0</v>
      </c>
      <c r="AP91" s="11">
        <f>IF(Data.[[#This Row],[Vol M0]]="",0,0)</f>
        <v>0</v>
      </c>
      <c r="AQ91" s="11">
        <f>IF(Data.[[#This Row],[Vol M0]]="",0,0)</f>
        <v>0</v>
      </c>
      <c r="AR91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92" spans="1:44" ht="14.25" customHeight="1">
      <c r="A92" s="53" t="str">
        <f>CONCATENATE(Data.[[#This Row],[Código]],Data.[[#This Row],[Ruc]])</f>
        <v>105893420614387654</v>
      </c>
      <c r="B92" s="9">
        <v>46174</v>
      </c>
      <c r="C92" s="53" t="str">
        <f>IFERROR(VLOOKUP(Data.[[#This Row],[Código LT]],Reportería.[],71,0),"")</f>
        <v/>
      </c>
      <c r="D92" s="10">
        <f>IFERROR(VLOOKUP(Data.[[#This Row],[Código]],BV!A:C,2,0),"")</f>
        <v>46178</v>
      </c>
      <c r="E92" s="10">
        <f>IFERROR(VLOOKUP(Data.[[#This Row],[Código]],BV!A:C,3,0),"")</f>
        <v>0</v>
      </c>
      <c r="F92" s="53">
        <v>1058934</v>
      </c>
      <c r="G92" s="8"/>
      <c r="H92" s="8">
        <v>20614387654</v>
      </c>
      <c r="I92" s="8" t="s">
        <v>735</v>
      </c>
      <c r="J92" s="8" t="s">
        <v>736</v>
      </c>
      <c r="K92" s="53" t="str">
        <f>IF(Data.[[#This Row],[Tipo de Venta]]&lt;&gt;"POS","Atendido",IF(Data.[[#This Row],[Fecha de Instalación]]&lt;&gt;"","Atendido","Ingresado"))</f>
        <v>Atendido</v>
      </c>
      <c r="L92" s="53" t="str">
        <f>Data.[[#This Row],[Estado]]</f>
        <v>Atendido</v>
      </c>
      <c r="M92" s="8" t="s">
        <v>33</v>
      </c>
      <c r="N92" s="53" t="str">
        <f>IFERROR(VLOOKUP(Data.[[#This Row],[Código LT]],Reportería.[],20,0),"")</f>
        <v/>
      </c>
      <c r="O92" s="53" t="str">
        <f>IFERROR(VLOOKUP(Data.[[#This Row],[Código LT]],Reportería.[],5,0),"")</f>
        <v/>
      </c>
      <c r="P92" s="11">
        <f>Data.[[#This Row],[GPV Mensual LT]]/COUNTIFS(H:H,Data.[[#This Row],[Ruc]],B:B,Data.[[#This Row],[Periodo]])</f>
        <v>100000</v>
      </c>
      <c r="Q92" s="11">
        <v>100000</v>
      </c>
      <c r="R92" s="8" t="s">
        <v>284</v>
      </c>
      <c r="S92" s="53" t="str">
        <f>VLOOKUP(Data.[[#This Row],[Ejecutivo]],Productividad!D:N,11,0)</f>
        <v>71870286</v>
      </c>
      <c r="T92" s="54" t="str">
        <f>VLOOKUP(Data.[[#This Row],[DNI Ejecutivo]],Productividad!C:U,8,0)</f>
        <v>william.cortez@lozapay.com.pe</v>
      </c>
      <c r="U92" s="53" t="str">
        <f>VLOOKUP(Data.[[#This Row],[DNI Ejecutivo]],Productividad!C:U,4,0)</f>
        <v>Senior</v>
      </c>
      <c r="V92" s="53" t="str">
        <f>IFERROR(VLOOKUP(Data.[[#This Row],[DNI Ejecutivo]],Ejecutivos.[],11,0),"")</f>
        <v>Norte Lapoint</v>
      </c>
      <c r="W92" s="8" t="s">
        <v>98</v>
      </c>
      <c r="X92" s="53" t="str" cm="1">
        <f t="array" ref="X92">IFERROR(_xlfn.IFS(Data.[[#This Row],[Supervisor]]="Jonathan Lapoint","Norte",Data.[[#This Row],[Supervisor]]="Jorge Fuentes","Norte"),"Lima")</f>
        <v>Norte</v>
      </c>
      <c r="Y92" s="53" t="str">
        <f>VLOOKUP(Data.[[#This Row],[Supervisor]],Ejecutivos!B:S,17,0)</f>
        <v>70430554</v>
      </c>
      <c r="Z92" s="54" t="str">
        <f>VLOOKUP(Data.[[#This Row],[DNI Supervisor]],Productividad!C:U,8,0)</f>
        <v>jlapointp@lozapay.com.pe</v>
      </c>
      <c r="AA92" s="8"/>
      <c r="AB92" s="8" t="s">
        <v>786</v>
      </c>
      <c r="AC92" s="53" t="str">
        <f>IFERROR(CONCATENATE(Data.[[#This Row],[DNI Ejecutivo]],Data.[[#This Row],[Periodo]]),"")</f>
        <v>7187028646174</v>
      </c>
      <c r="AD92" s="53" t="str">
        <f>IFERROR(VLOOKUP(Data.[[#This Row],[Código LT]],Reportería.[],10,0),"")</f>
        <v/>
      </c>
      <c r="AE92" s="53" t="str">
        <f>IFERROR(VLOOKUP(Data.[[#This Row],[Código LT]],Reportería.[],11,0),"")</f>
        <v/>
      </c>
      <c r="AF92" s="13">
        <f>IFERROR(VLOOKUP(Data.[[#This Row],[Código]],Reportería!A:BV,57,0),0)</f>
        <v>0</v>
      </c>
      <c r="AG92" s="13"/>
      <c r="AH92" s="13"/>
      <c r="AI92" s="11">
        <f>IF(TEXT(Data.[[#This Row],[Periodo]],"mmm-yy")="may-26",VLOOKUP(Data.[[#This Row],[Código]],Reportería!A:BV,57,0),0)</f>
        <v>0</v>
      </c>
      <c r="AJ92" s="11"/>
      <c r="AK92" s="11"/>
      <c r="AL92" s="11">
        <f>IF(Data.[[#This Row],[Vol M0]]="",0,0)</f>
        <v>0</v>
      </c>
      <c r="AM92" s="11">
        <f>IF(Data.[[#This Row],[Vol M0]]="",0,0)</f>
        <v>0</v>
      </c>
      <c r="AN92" s="11">
        <f>IF(Data.[[#This Row],[Vol M0]]="",0,0)</f>
        <v>0</v>
      </c>
      <c r="AO92" s="11">
        <f>IF(Data.[[#This Row],[Vol M0]]="",0,0)</f>
        <v>0</v>
      </c>
      <c r="AP92" s="11">
        <f>IF(Data.[[#This Row],[Vol M0]]="",0,0)</f>
        <v>0</v>
      </c>
      <c r="AQ92" s="11">
        <f>IF(Data.[[#This Row],[Vol M0]]="",0,0)</f>
        <v>0</v>
      </c>
      <c r="AR92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93" spans="1:44" ht="14.25" customHeight="1">
      <c r="A93" s="53" t="str">
        <f>CONCATENATE(Data.[[#This Row],[Código]],Data.[[#This Row],[Ruc]])</f>
        <v>105887320319956043</v>
      </c>
      <c r="B93" s="9">
        <v>46174</v>
      </c>
      <c r="C93" s="53" t="str">
        <f>IFERROR(VLOOKUP(Data.[[#This Row],[Código LT]],Reportería.[],71,0),"")</f>
        <v/>
      </c>
      <c r="D93" s="10">
        <f>IFERROR(VLOOKUP(Data.[[#This Row],[Código]],BV!A:C,2,0),"")</f>
        <v>46178</v>
      </c>
      <c r="E93" s="10">
        <f>IFERROR(VLOOKUP(Data.[[#This Row],[Código]],BV!A:C,3,0),"")</f>
        <v>46189</v>
      </c>
      <c r="F93" s="53">
        <v>1058873</v>
      </c>
      <c r="G93" s="8"/>
      <c r="H93" s="8">
        <v>20319956043</v>
      </c>
      <c r="I93" s="8" t="s">
        <v>559</v>
      </c>
      <c r="J93" s="8" t="s">
        <v>560</v>
      </c>
      <c r="K93" s="53" t="str">
        <f>IF(Data.[[#This Row],[Tipo de Venta]]&lt;&gt;"POS","Atendido",IF(Data.[[#This Row],[Fecha de Instalación]]&lt;&gt;"","Atendido","Ingresado"))</f>
        <v>Atendido</v>
      </c>
      <c r="L93" s="53" t="str">
        <f>Data.[[#This Row],[Estado]]</f>
        <v>Atendido</v>
      </c>
      <c r="M93" s="8" t="s">
        <v>33</v>
      </c>
      <c r="N93" s="53" t="str">
        <f>IFERROR(VLOOKUP(Data.[[#This Row],[Código LT]],Reportería.[],20,0),"")</f>
        <v/>
      </c>
      <c r="O93" s="53" t="str">
        <f>IFERROR(VLOOKUP(Data.[[#This Row],[Código LT]],Reportería.[],5,0),"")</f>
        <v/>
      </c>
      <c r="P93" s="11">
        <f>Data.[[#This Row],[GPV Mensual LT]]/COUNTIFS(H:H,Data.[[#This Row],[Ruc]],B:B,Data.[[#This Row],[Periodo]])</f>
        <v>1000000</v>
      </c>
      <c r="Q93" s="11">
        <v>2000000</v>
      </c>
      <c r="R93" s="8" t="s">
        <v>52</v>
      </c>
      <c r="S93" s="53" t="str">
        <f>VLOOKUP(Data.[[#This Row],[Ejecutivo]],Productividad!D:N,11,0)</f>
        <v>47045287</v>
      </c>
      <c r="T93" s="54" t="str">
        <f>VLOOKUP(Data.[[#This Row],[DNI Ejecutivo]],Productividad!C:U,8,0)</f>
        <v>asifuentesu@lozapay.com.pe</v>
      </c>
      <c r="U93" s="53" t="str">
        <f>VLOOKUP(Data.[[#This Row],[DNI Ejecutivo]],Productividad!C:U,4,0)</f>
        <v>Elite</v>
      </c>
      <c r="V93" s="53" t="str">
        <f>IFERROR(VLOOKUP(Data.[[#This Row],[DNI Ejecutivo]],Ejecutivos.[],11,0),"")</f>
        <v>Norte Fuentes</v>
      </c>
      <c r="W93" s="8" t="s">
        <v>42</v>
      </c>
      <c r="X93" s="53" t="str" cm="1">
        <f t="array" ref="X93">IFERROR(_xlfn.IFS(Data.[[#This Row],[Supervisor]]="Jonathan Lapoint","Norte",Data.[[#This Row],[Supervisor]]="Jorge Fuentes","Norte"),"Lima")</f>
        <v>Norte</v>
      </c>
      <c r="Y93" s="53" t="str">
        <f>VLOOKUP(Data.[[#This Row],[Supervisor]],Ejecutivos!B:S,17,0)</f>
        <v>70059865</v>
      </c>
      <c r="Z93" s="54" t="str">
        <f>VLOOKUP(Data.[[#This Row],[DNI Supervisor]],Productividad!C:U,8,0)</f>
        <v>jfuentes@lozapay.com.pe</v>
      </c>
      <c r="AA93" s="8"/>
      <c r="AB93" s="8" t="s">
        <v>99</v>
      </c>
      <c r="AC93" s="53" t="str">
        <f>IFERROR(CONCATENATE(Data.[[#This Row],[DNI Ejecutivo]],Data.[[#This Row],[Periodo]]),"")</f>
        <v>4704528746174</v>
      </c>
      <c r="AD93" s="53" t="str">
        <f>IFERROR(VLOOKUP(Data.[[#This Row],[Código LT]],Reportería.[],10,0),"")</f>
        <v/>
      </c>
      <c r="AE93" s="53" t="str">
        <f>IFERROR(VLOOKUP(Data.[[#This Row],[Código LT]],Reportería.[],11,0),"")</f>
        <v/>
      </c>
      <c r="AF93" s="13">
        <f>IFERROR(VLOOKUP(Data.[[#This Row],[Código]],Reportería!A:BV,57,0),0)</f>
        <v>0</v>
      </c>
      <c r="AG93" s="13"/>
      <c r="AH93" s="13"/>
      <c r="AI93" s="11">
        <f>IF(TEXT(Data.[[#This Row],[Periodo]],"mmm-yy")="may-26",VLOOKUP(Data.[[#This Row],[Código]],Reportería!A:BV,57,0),0)</f>
        <v>0</v>
      </c>
      <c r="AJ93" s="11"/>
      <c r="AK93" s="11"/>
      <c r="AL93" s="11">
        <f>IF(Data.[[#This Row],[Vol M0]]="",0,0)</f>
        <v>0</v>
      </c>
      <c r="AM93" s="11">
        <f>IF(Data.[[#This Row],[Vol M0]]="",0,0)</f>
        <v>0</v>
      </c>
      <c r="AN93" s="11">
        <f>IF(Data.[[#This Row],[Vol M0]]="",0,0)</f>
        <v>0</v>
      </c>
      <c r="AO93" s="11">
        <f>IF(Data.[[#This Row],[Vol M0]]="",0,0)</f>
        <v>0</v>
      </c>
      <c r="AP93" s="11">
        <f>IF(Data.[[#This Row],[Vol M0]]="",0,0)</f>
        <v>0</v>
      </c>
      <c r="AQ93" s="11">
        <f>IF(Data.[[#This Row],[Vol M0]]="",0,0)</f>
        <v>0</v>
      </c>
      <c r="AR93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94" spans="1:44" ht="14.25" customHeight="1">
      <c r="A94" s="55" t="str">
        <f>CONCATENATE(Data.[[#This Row],[Código]],Data.[[#This Row],[Ruc]])</f>
        <v>105887320319956043</v>
      </c>
      <c r="B94" s="9">
        <v>46174</v>
      </c>
      <c r="C94" s="55" t="str">
        <f>IFERROR(VLOOKUP(Data.[[#This Row],[Código LT]],Reportería.[],71,0),"")</f>
        <v/>
      </c>
      <c r="D94" s="52">
        <f>IFERROR(VLOOKUP(Data.[[#This Row],[Código]],BV!A:C,2,0),"")</f>
        <v>46178</v>
      </c>
      <c r="E94" s="52">
        <f>IFERROR(VLOOKUP(Data.[[#This Row],[Código]],BV!A:C,3,0),"")</f>
        <v>46189</v>
      </c>
      <c r="F94" s="55">
        <v>1058873</v>
      </c>
      <c r="G94" s="12"/>
      <c r="H94" s="12">
        <v>20319956043</v>
      </c>
      <c r="I94" s="12" t="s">
        <v>559</v>
      </c>
      <c r="J94" s="12" t="s">
        <v>560</v>
      </c>
      <c r="K94" s="55" t="str">
        <f>IF(Data.[[#This Row],[Tipo de Venta]]&lt;&gt;"POS","Atendido",IF(Data.[[#This Row],[Fecha de Instalación]]&lt;&gt;"","Atendido","Ingresado"))</f>
        <v>Atendido</v>
      </c>
      <c r="L94" s="55" t="str">
        <f>Data.[[#This Row],[Estado]]</f>
        <v>Atendido</v>
      </c>
      <c r="M94" s="8" t="s">
        <v>561</v>
      </c>
      <c r="N94" s="55" t="str">
        <f>IFERROR(VLOOKUP(Data.[[#This Row],[Código LT]],Reportería.[],20,0),"")</f>
        <v/>
      </c>
      <c r="O94" s="55" t="str">
        <f>IFERROR(VLOOKUP(Data.[[#This Row],[Código LT]],Reportería.[],5,0),"")</f>
        <v/>
      </c>
      <c r="P94" s="13">
        <f>Data.[[#This Row],[GPV Mensual LT]]/COUNTIFS(H:H,Data.[[#This Row],[Ruc]],B:B,Data.[[#This Row],[Periodo]])</f>
        <v>1000000</v>
      </c>
      <c r="Q94" s="13">
        <v>2000000</v>
      </c>
      <c r="R94" s="12" t="s">
        <v>52</v>
      </c>
      <c r="S94" s="55" t="str">
        <f>VLOOKUP(Data.[[#This Row],[Ejecutivo]],Productividad!D:N,11,0)</f>
        <v>47045287</v>
      </c>
      <c r="T94" s="56" t="str">
        <f>VLOOKUP(Data.[[#This Row],[DNI Ejecutivo]],Productividad!C:U,8,0)</f>
        <v>asifuentesu@lozapay.com.pe</v>
      </c>
      <c r="U94" s="55" t="str">
        <f>VLOOKUP(Data.[[#This Row],[DNI Ejecutivo]],Productividad!C:U,4,0)</f>
        <v>Elite</v>
      </c>
      <c r="V94" s="55" t="str">
        <f>IFERROR(VLOOKUP(Data.[[#This Row],[DNI Ejecutivo]],Ejecutivos.[],11,0),"")</f>
        <v>Norte Fuentes</v>
      </c>
      <c r="W94" s="12" t="s">
        <v>42</v>
      </c>
      <c r="X94" s="55" t="str" cm="1">
        <f t="array" ref="X94">IFERROR(_xlfn.IFS(Data.[[#This Row],[Supervisor]]="Jonathan Lapoint","Norte",Data.[[#This Row],[Supervisor]]="Jorge Fuentes","Norte"),"Lima")</f>
        <v>Norte</v>
      </c>
      <c r="Y94" s="55" t="str">
        <f>VLOOKUP(Data.[[#This Row],[Supervisor]],Ejecutivos!B:S,17,0)</f>
        <v>70059865</v>
      </c>
      <c r="Z94" s="56" t="str">
        <f>VLOOKUP(Data.[[#This Row],[DNI Supervisor]],Productividad!C:U,8,0)</f>
        <v>jfuentes@lozapay.com.pe</v>
      </c>
      <c r="AA94" s="12"/>
      <c r="AB94" s="12" t="s">
        <v>99</v>
      </c>
      <c r="AC94" s="55" t="str">
        <f>IFERROR(CONCATENATE(Data.[[#This Row],[DNI Ejecutivo]],Data.[[#This Row],[Periodo]]),"")</f>
        <v>4704528746174</v>
      </c>
      <c r="AD94" s="55" t="str">
        <f>IFERROR(VLOOKUP(Data.[[#This Row],[Código LT]],Reportería.[],10,0),"")</f>
        <v/>
      </c>
      <c r="AE94" s="55" t="str">
        <f>IFERROR(VLOOKUP(Data.[[#This Row],[Código LT]],Reportería.[],11,0),"")</f>
        <v/>
      </c>
      <c r="AF94" s="13">
        <f>IFERROR(VLOOKUP(Data.[[#This Row],[Código]],Reportería!A:BV,57,0),0)</f>
        <v>0</v>
      </c>
      <c r="AG94" s="13"/>
      <c r="AH94" s="13"/>
      <c r="AI94" s="11">
        <f>IF(TEXT(Data.[[#This Row],[Periodo]],"mmm-yy")="may-26",VLOOKUP(Data.[[#This Row],[Código]],Reportería!A:BV,57,0),0)</f>
        <v>0</v>
      </c>
      <c r="AJ94" s="13"/>
      <c r="AK94" s="13"/>
      <c r="AL94" s="13">
        <f>IF(Data.[[#This Row],[Vol M0]]="",0,0)</f>
        <v>0</v>
      </c>
      <c r="AM94" s="13">
        <f>IF(Data.[[#This Row],[Vol M0]]="",0,0)</f>
        <v>0</v>
      </c>
      <c r="AN94" s="13">
        <f>IF(Data.[[#This Row],[Vol M0]]="",0,0)</f>
        <v>0</v>
      </c>
      <c r="AO94" s="13">
        <f>IF(Data.[[#This Row],[Vol M0]]="",0,0)</f>
        <v>0</v>
      </c>
      <c r="AP94" s="13">
        <f>IF(Data.[[#This Row],[Vol M0]]="",0,0)</f>
        <v>0</v>
      </c>
      <c r="AQ94" s="13">
        <f>IF(Data.[[#This Row],[Vol M0]]="",0,0)</f>
        <v>0</v>
      </c>
      <c r="AR94" s="13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95" spans="1:44" ht="14.25" customHeight="1">
      <c r="A95" s="53" t="str">
        <f>CONCATENATE(Data.[[#This Row],[Código]],Data.[[#This Row],[Ruc]])</f>
        <v>595711520605346392</v>
      </c>
      <c r="B95" s="9">
        <v>46174</v>
      </c>
      <c r="C95" s="53" t="str">
        <f>IFERROR(VLOOKUP(Data.[[#This Row],[Código LT]],Reportería.[],71,0),"")</f>
        <v/>
      </c>
      <c r="D95" s="10">
        <f>IFERROR(VLOOKUP(Data.[[#This Row],[Código]],BV!A:C,2,0),"")</f>
        <v>46181</v>
      </c>
      <c r="E95" s="10">
        <f>IFERROR(VLOOKUP(Data.[[#This Row],[Código]],BV!A:C,3,0),"")</f>
        <v>46181</v>
      </c>
      <c r="F95" s="53">
        <v>5957115</v>
      </c>
      <c r="G95" s="8" t="s">
        <v>810</v>
      </c>
      <c r="H95" s="8">
        <v>20605346392</v>
      </c>
      <c r="I95" s="8" t="s">
        <v>811</v>
      </c>
      <c r="J95" s="8" t="s">
        <v>812</v>
      </c>
      <c r="K95" s="53" t="str">
        <f>IF(Data.[[#This Row],[Tipo de Venta]]&lt;&gt;"POS","Atendido",IF(Data.[[#This Row],[Fecha de Instalación]]&lt;&gt;"","Atendido","Ingresado"))</f>
        <v>Atendido</v>
      </c>
      <c r="L95" s="53" t="str">
        <f>Data.[[#This Row],[Estado]]</f>
        <v>Atendido</v>
      </c>
      <c r="M95" s="8" t="s">
        <v>33</v>
      </c>
      <c r="N95" s="53" t="str">
        <f>IFERROR(VLOOKUP(Data.[[#This Row],[Código LT]],Reportería.[],20,0),"")</f>
        <v/>
      </c>
      <c r="O95" s="53" t="str">
        <f>IFERROR(VLOOKUP(Data.[[#This Row],[Código LT]],Reportería.[],5,0),"")</f>
        <v/>
      </c>
      <c r="P95" s="11">
        <f>Data.[[#This Row],[GPV Mensual LT]]/COUNTIFS(H:H,Data.[[#This Row],[Ruc]],B:B,Data.[[#This Row],[Periodo]])</f>
        <v>25000</v>
      </c>
      <c r="Q95" s="11">
        <v>150000</v>
      </c>
      <c r="R95" s="8" t="s">
        <v>47</v>
      </c>
      <c r="S95" s="53" t="str">
        <f>VLOOKUP(Data.[[#This Row],[Ejecutivo]],Productividad!D:N,11,0)</f>
        <v>44881019</v>
      </c>
      <c r="T95" s="54" t="str">
        <f>VLOOKUP(Data.[[#This Row],[DNI Ejecutivo]],Productividad!C:U,8,0)</f>
        <v>jackeline.matos@lozapay.com.pe</v>
      </c>
      <c r="U95" s="53" t="str">
        <f>VLOOKUP(Data.[[#This Row],[DNI Ejecutivo]],Productividad!C:U,4,0)</f>
        <v>Senior</v>
      </c>
      <c r="V95" s="53" t="str">
        <f>IFERROR(VLOOKUP(Data.[[#This Row],[DNI Ejecutivo]],Ejecutivos.[],11,0),"")</f>
        <v>Lima Hamm</v>
      </c>
      <c r="W95" s="8" t="s">
        <v>48</v>
      </c>
      <c r="X95" s="53" t="str" cm="1">
        <f t="array" ref="X95">IFERROR(_xlfn.IFS(Data.[[#This Row],[Supervisor]]="Jonathan Lapoint","Norte",Data.[[#This Row],[Supervisor]]="Jorge Fuentes","Norte"),"Lima")</f>
        <v>Lima</v>
      </c>
      <c r="Y95" s="53" t="str">
        <f>VLOOKUP(Data.[[#This Row],[Supervisor]],Ejecutivos!B:S,17,0)</f>
        <v>44818200</v>
      </c>
      <c r="Z95" s="54" t="str">
        <f>VLOOKUP(Data.[[#This Row],[DNI Supervisor]],Productividad!C:U,8,0)</f>
        <v>hramirezp@lozapay.com.pe</v>
      </c>
      <c r="AA95" s="8"/>
      <c r="AB95" s="8" t="s">
        <v>49</v>
      </c>
      <c r="AC95" s="53" t="str">
        <f>IFERROR(CONCATENATE(Data.[[#This Row],[DNI Ejecutivo]],Data.[[#This Row],[Periodo]]),"")</f>
        <v>4488101946174</v>
      </c>
      <c r="AD95" s="53" t="str">
        <f>IFERROR(VLOOKUP(Data.[[#This Row],[Código LT]],Reportería.[],10,0),"")</f>
        <v/>
      </c>
      <c r="AE95" s="53" t="str">
        <f>IFERROR(VLOOKUP(Data.[[#This Row],[Código LT]],Reportería.[],11,0),"")</f>
        <v/>
      </c>
      <c r="AF95" s="13">
        <f>IFERROR(VLOOKUP(Data.[[#This Row],[Código]],Reportería!A:BV,57,0),0)</f>
        <v>44308.87</v>
      </c>
      <c r="AG95" s="13"/>
      <c r="AH95" s="13"/>
      <c r="AI95" s="11">
        <f>IF(TEXT(Data.[[#This Row],[Periodo]],"mmm-yy")="may-26",VLOOKUP(Data.[[#This Row],[Código]],Reportería!A:BV,57,0),0)</f>
        <v>0</v>
      </c>
      <c r="AJ95" s="11"/>
      <c r="AK95" s="11"/>
      <c r="AL95" s="11">
        <f>IF(Data.[[#This Row],[Vol M0]]="",0,0)</f>
        <v>0</v>
      </c>
      <c r="AM95" s="11">
        <f>IF(Data.[[#This Row],[Vol M0]]="",0,0)</f>
        <v>0</v>
      </c>
      <c r="AN95" s="11">
        <f>IF(Data.[[#This Row],[Vol M0]]="",0,0)</f>
        <v>0</v>
      </c>
      <c r="AO95" s="11">
        <f>IF(Data.[[#This Row],[Vol M0]]="",0,0)</f>
        <v>0</v>
      </c>
      <c r="AP95" s="11">
        <f>IF(Data.[[#This Row],[Vol M0]]="",0,0)</f>
        <v>0</v>
      </c>
      <c r="AQ95" s="11">
        <f>IF(Data.[[#This Row],[Vol M0]]="",0,0)</f>
        <v>0</v>
      </c>
      <c r="AR95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0.16666666666666666</v>
      </c>
    </row>
    <row r="96" spans="1:44" ht="14.25" customHeight="1">
      <c r="A96" s="53" t="str">
        <f>CONCATENATE(Data.[[#This Row],[Código]],Data.[[#This Row],[Ruc]])</f>
        <v>595710520605346392</v>
      </c>
      <c r="B96" s="9">
        <v>46174</v>
      </c>
      <c r="C96" s="53" t="str">
        <f>IFERROR(VLOOKUP(Data.[[#This Row],[Código LT]],Reportería.[],71,0),"")</f>
        <v/>
      </c>
      <c r="D96" s="10">
        <f>IFERROR(VLOOKUP(Data.[[#This Row],[Código]],BV!A:C,2,0),"")</f>
        <v>46181</v>
      </c>
      <c r="E96" s="10">
        <f>IFERROR(VLOOKUP(Data.[[#This Row],[Código]],BV!A:C,3,0),"")</f>
        <v>46181</v>
      </c>
      <c r="F96" s="53">
        <v>5957105</v>
      </c>
      <c r="G96" s="8" t="s">
        <v>813</v>
      </c>
      <c r="H96" s="8">
        <v>20605346392</v>
      </c>
      <c r="I96" s="8" t="s">
        <v>811</v>
      </c>
      <c r="J96" s="8" t="s">
        <v>812</v>
      </c>
      <c r="K96" s="53" t="str">
        <f>IF(Data.[[#This Row],[Tipo de Venta]]&lt;&gt;"POS","Atendido",IF(Data.[[#This Row],[Fecha de Instalación]]&lt;&gt;"","Atendido","Ingresado"))</f>
        <v>Atendido</v>
      </c>
      <c r="L96" s="53" t="str">
        <f>Data.[[#This Row],[Estado]]</f>
        <v>Atendido</v>
      </c>
      <c r="M96" s="8" t="s">
        <v>33</v>
      </c>
      <c r="N96" s="53" t="str">
        <f>IFERROR(VLOOKUP(Data.[[#This Row],[Código LT]],Reportería.[],20,0),"")</f>
        <v/>
      </c>
      <c r="O96" s="53" t="str">
        <f>IFERROR(VLOOKUP(Data.[[#This Row],[Código LT]],Reportería.[],5,0),"")</f>
        <v/>
      </c>
      <c r="P96" s="11">
        <f>Data.[[#This Row],[GPV Mensual LT]]/COUNTIFS(H:H,Data.[[#This Row],[Ruc]],B:B,Data.[[#This Row],[Periodo]])</f>
        <v>25000</v>
      </c>
      <c r="Q96" s="11">
        <v>150000</v>
      </c>
      <c r="R96" s="8" t="s">
        <v>47</v>
      </c>
      <c r="S96" s="53" t="str">
        <f>VLOOKUP(Data.[[#This Row],[Ejecutivo]],Productividad!D:N,11,0)</f>
        <v>44881019</v>
      </c>
      <c r="T96" s="54" t="str">
        <f>VLOOKUP(Data.[[#This Row],[DNI Ejecutivo]],Productividad!C:U,8,0)</f>
        <v>jackeline.matos@lozapay.com.pe</v>
      </c>
      <c r="U96" s="53" t="str">
        <f>VLOOKUP(Data.[[#This Row],[DNI Ejecutivo]],Productividad!C:U,4,0)</f>
        <v>Senior</v>
      </c>
      <c r="V96" s="53" t="str">
        <f>IFERROR(VLOOKUP(Data.[[#This Row],[DNI Ejecutivo]],Ejecutivos.[],11,0),"")</f>
        <v>Lima Hamm</v>
      </c>
      <c r="W96" s="8" t="s">
        <v>48</v>
      </c>
      <c r="X96" s="53" t="str" cm="1">
        <f t="array" ref="X96">IFERROR(_xlfn.IFS(Data.[[#This Row],[Supervisor]]="Jonathan Lapoint","Norte",Data.[[#This Row],[Supervisor]]="Jorge Fuentes","Norte"),"Lima")</f>
        <v>Lima</v>
      </c>
      <c r="Y96" s="53" t="str">
        <f>VLOOKUP(Data.[[#This Row],[Supervisor]],Ejecutivos!B:S,17,0)</f>
        <v>44818200</v>
      </c>
      <c r="Z96" s="54" t="str">
        <f>VLOOKUP(Data.[[#This Row],[DNI Supervisor]],Productividad!C:U,8,0)</f>
        <v>hramirezp@lozapay.com.pe</v>
      </c>
      <c r="AA96" s="8"/>
      <c r="AB96" s="8" t="s">
        <v>49</v>
      </c>
      <c r="AC96" s="53" t="str">
        <f>IFERROR(CONCATENATE(Data.[[#This Row],[DNI Ejecutivo]],Data.[[#This Row],[Periodo]]),"")</f>
        <v>4488101946174</v>
      </c>
      <c r="AD96" s="53" t="str">
        <f>IFERROR(VLOOKUP(Data.[[#This Row],[Código LT]],Reportería.[],10,0),"")</f>
        <v/>
      </c>
      <c r="AE96" s="53" t="str">
        <f>IFERROR(VLOOKUP(Data.[[#This Row],[Código LT]],Reportería.[],11,0),"")</f>
        <v/>
      </c>
      <c r="AF96" s="13">
        <f>IFERROR(VLOOKUP(Data.[[#This Row],[Código]],Reportería!A:BV,57,0),0)</f>
        <v>74433.009999999995</v>
      </c>
      <c r="AG96" s="13"/>
      <c r="AH96" s="13"/>
      <c r="AI96" s="11">
        <f>IF(TEXT(Data.[[#This Row],[Periodo]],"mmm-yy")="may-26",VLOOKUP(Data.[[#This Row],[Código]],Reportería!A:BV,57,0),0)</f>
        <v>0</v>
      </c>
      <c r="AJ96" s="11"/>
      <c r="AK96" s="11"/>
      <c r="AL96" s="11">
        <f>IF(Data.[[#This Row],[Vol M0]]="",0,0)</f>
        <v>0</v>
      </c>
      <c r="AM96" s="11">
        <f>IF(Data.[[#This Row],[Vol M0]]="",0,0)</f>
        <v>0</v>
      </c>
      <c r="AN96" s="11">
        <f>IF(Data.[[#This Row],[Vol M0]]="",0,0)</f>
        <v>0</v>
      </c>
      <c r="AO96" s="11">
        <f>IF(Data.[[#This Row],[Vol M0]]="",0,0)</f>
        <v>0</v>
      </c>
      <c r="AP96" s="11">
        <f>IF(Data.[[#This Row],[Vol M0]]="",0,0)</f>
        <v>0</v>
      </c>
      <c r="AQ96" s="11">
        <f>IF(Data.[[#This Row],[Vol M0]]="",0,0)</f>
        <v>0</v>
      </c>
      <c r="AR96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0.16666666666666666</v>
      </c>
    </row>
    <row r="97" spans="1:44" ht="14.25" customHeight="1">
      <c r="A97" s="53" t="str">
        <f>CONCATENATE(Data.[[#This Row],[Código]],Data.[[#This Row],[Ruc]])</f>
        <v>595711020605346392</v>
      </c>
      <c r="B97" s="9">
        <v>46174</v>
      </c>
      <c r="C97" s="53" t="str">
        <f>IFERROR(VLOOKUP(Data.[[#This Row],[Código LT]],Reportería.[],71,0),"")</f>
        <v/>
      </c>
      <c r="D97" s="10">
        <f>IFERROR(VLOOKUP(Data.[[#This Row],[Código]],BV!A:C,2,0),"")</f>
        <v>46181</v>
      </c>
      <c r="E97" s="10">
        <f>IFERROR(VLOOKUP(Data.[[#This Row],[Código]],BV!A:C,3,0),"")</f>
        <v>46181</v>
      </c>
      <c r="F97" s="53">
        <v>5957110</v>
      </c>
      <c r="G97" s="8" t="s">
        <v>814</v>
      </c>
      <c r="H97" s="8">
        <v>20605346392</v>
      </c>
      <c r="I97" s="8" t="s">
        <v>811</v>
      </c>
      <c r="J97" s="8" t="s">
        <v>812</v>
      </c>
      <c r="K97" s="53" t="str">
        <f>IF(Data.[[#This Row],[Tipo de Venta]]&lt;&gt;"POS","Atendido",IF(Data.[[#This Row],[Fecha de Instalación]]&lt;&gt;"","Atendido","Ingresado"))</f>
        <v>Atendido</v>
      </c>
      <c r="L97" s="53" t="str">
        <f>Data.[[#This Row],[Estado]]</f>
        <v>Atendido</v>
      </c>
      <c r="M97" s="8" t="s">
        <v>33</v>
      </c>
      <c r="N97" s="53" t="str">
        <f>IFERROR(VLOOKUP(Data.[[#This Row],[Código LT]],Reportería.[],20,0),"")</f>
        <v/>
      </c>
      <c r="O97" s="53" t="str">
        <f>IFERROR(VLOOKUP(Data.[[#This Row],[Código LT]],Reportería.[],5,0),"")</f>
        <v/>
      </c>
      <c r="P97" s="11">
        <f>Data.[[#This Row],[GPV Mensual LT]]/COUNTIFS(H:H,Data.[[#This Row],[Ruc]],B:B,Data.[[#This Row],[Periodo]])</f>
        <v>25000</v>
      </c>
      <c r="Q97" s="11">
        <v>150000</v>
      </c>
      <c r="R97" s="8" t="s">
        <v>47</v>
      </c>
      <c r="S97" s="53" t="str">
        <f>VLOOKUP(Data.[[#This Row],[Ejecutivo]],Productividad!D:N,11,0)</f>
        <v>44881019</v>
      </c>
      <c r="T97" s="54" t="str">
        <f>VLOOKUP(Data.[[#This Row],[DNI Ejecutivo]],Productividad!C:U,8,0)</f>
        <v>jackeline.matos@lozapay.com.pe</v>
      </c>
      <c r="U97" s="53" t="str">
        <f>VLOOKUP(Data.[[#This Row],[DNI Ejecutivo]],Productividad!C:U,4,0)</f>
        <v>Senior</v>
      </c>
      <c r="V97" s="53" t="str">
        <f>IFERROR(VLOOKUP(Data.[[#This Row],[DNI Ejecutivo]],Ejecutivos.[],11,0),"")</f>
        <v>Lima Hamm</v>
      </c>
      <c r="W97" s="8" t="s">
        <v>48</v>
      </c>
      <c r="X97" s="53" t="str" cm="1">
        <f t="array" ref="X97">IFERROR(_xlfn.IFS(Data.[[#This Row],[Supervisor]]="Jonathan Lapoint","Norte",Data.[[#This Row],[Supervisor]]="Jorge Fuentes","Norte"),"Lima")</f>
        <v>Lima</v>
      </c>
      <c r="Y97" s="53" t="str">
        <f>VLOOKUP(Data.[[#This Row],[Supervisor]],Ejecutivos!B:S,17,0)</f>
        <v>44818200</v>
      </c>
      <c r="Z97" s="54" t="str">
        <f>VLOOKUP(Data.[[#This Row],[DNI Supervisor]],Productividad!C:U,8,0)</f>
        <v>hramirezp@lozapay.com.pe</v>
      </c>
      <c r="AA97" s="8"/>
      <c r="AB97" s="8" t="s">
        <v>49</v>
      </c>
      <c r="AC97" s="53" t="str">
        <f>IFERROR(CONCATENATE(Data.[[#This Row],[DNI Ejecutivo]],Data.[[#This Row],[Periodo]]),"")</f>
        <v>4488101946174</v>
      </c>
      <c r="AD97" s="53" t="str">
        <f>IFERROR(VLOOKUP(Data.[[#This Row],[Código LT]],Reportería.[],10,0),"")</f>
        <v/>
      </c>
      <c r="AE97" s="53" t="str">
        <f>IFERROR(VLOOKUP(Data.[[#This Row],[Código LT]],Reportería.[],11,0),"")</f>
        <v/>
      </c>
      <c r="AF97" s="13">
        <f>IFERROR(VLOOKUP(Data.[[#This Row],[Código]],Reportería!A:BV,57,0),0)</f>
        <v>114579.79</v>
      </c>
      <c r="AG97" s="13"/>
      <c r="AH97" s="13"/>
      <c r="AI97" s="11">
        <f>IF(TEXT(Data.[[#This Row],[Periodo]],"mmm-yy")="may-26",VLOOKUP(Data.[[#This Row],[Código]],Reportería!A:BV,57,0),0)</f>
        <v>0</v>
      </c>
      <c r="AJ97" s="11"/>
      <c r="AK97" s="11"/>
      <c r="AL97" s="11">
        <f>IF(Data.[[#This Row],[Vol M0]]="",0,0)</f>
        <v>0</v>
      </c>
      <c r="AM97" s="11">
        <f>IF(Data.[[#This Row],[Vol M0]]="",0,0)</f>
        <v>0</v>
      </c>
      <c r="AN97" s="11">
        <f>IF(Data.[[#This Row],[Vol M0]]="",0,0)</f>
        <v>0</v>
      </c>
      <c r="AO97" s="11">
        <f>IF(Data.[[#This Row],[Vol M0]]="",0,0)</f>
        <v>0</v>
      </c>
      <c r="AP97" s="11">
        <f>IF(Data.[[#This Row],[Vol M0]]="",0,0)</f>
        <v>0</v>
      </c>
      <c r="AQ97" s="11">
        <f>IF(Data.[[#This Row],[Vol M0]]="",0,0)</f>
        <v>0</v>
      </c>
      <c r="AR97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0.16666666666666666</v>
      </c>
    </row>
    <row r="98" spans="1:44" ht="14.25" customHeight="1">
      <c r="A98" s="53" t="str">
        <f>CONCATENATE(Data.[[#This Row],[Código]],Data.[[#This Row],[Ruc]])</f>
        <v>595712620605346392</v>
      </c>
      <c r="B98" s="9">
        <v>46174</v>
      </c>
      <c r="C98" s="53" t="str">
        <f>IFERROR(VLOOKUP(Data.[[#This Row],[Código LT]],Reportería.[],71,0),"")</f>
        <v/>
      </c>
      <c r="D98" s="10">
        <f>IFERROR(VLOOKUP(Data.[[#This Row],[Código]],BV!A:C,2,0),"")</f>
        <v>46181</v>
      </c>
      <c r="E98" s="10">
        <f>IFERROR(VLOOKUP(Data.[[#This Row],[Código]],BV!A:C,3,0),"")</f>
        <v>46181</v>
      </c>
      <c r="F98" s="53">
        <v>5957126</v>
      </c>
      <c r="G98" s="8" t="s">
        <v>815</v>
      </c>
      <c r="H98" s="8">
        <v>20605346392</v>
      </c>
      <c r="I98" s="8" t="s">
        <v>811</v>
      </c>
      <c r="J98" s="8" t="s">
        <v>812</v>
      </c>
      <c r="K98" s="53" t="str">
        <f>IF(Data.[[#This Row],[Tipo de Venta]]&lt;&gt;"POS","Atendido",IF(Data.[[#This Row],[Fecha de Instalación]]&lt;&gt;"","Atendido","Ingresado"))</f>
        <v>Atendido</v>
      </c>
      <c r="L98" s="53" t="str">
        <f>Data.[[#This Row],[Estado]]</f>
        <v>Atendido</v>
      </c>
      <c r="M98" s="8" t="s">
        <v>33</v>
      </c>
      <c r="N98" s="53" t="str">
        <f>IFERROR(VLOOKUP(Data.[[#This Row],[Código LT]],Reportería.[],20,0),"")</f>
        <v/>
      </c>
      <c r="O98" s="53" t="str">
        <f>IFERROR(VLOOKUP(Data.[[#This Row],[Código LT]],Reportería.[],5,0),"")</f>
        <v/>
      </c>
      <c r="P98" s="11">
        <f>Data.[[#This Row],[GPV Mensual LT]]/COUNTIFS(H:H,Data.[[#This Row],[Ruc]],B:B,Data.[[#This Row],[Periodo]])</f>
        <v>25000</v>
      </c>
      <c r="Q98" s="11">
        <v>150000</v>
      </c>
      <c r="R98" s="8" t="s">
        <v>47</v>
      </c>
      <c r="S98" s="53" t="str">
        <f>VLOOKUP(Data.[[#This Row],[Ejecutivo]],Productividad!D:N,11,0)</f>
        <v>44881019</v>
      </c>
      <c r="T98" s="54" t="str">
        <f>VLOOKUP(Data.[[#This Row],[DNI Ejecutivo]],Productividad!C:U,8,0)</f>
        <v>jackeline.matos@lozapay.com.pe</v>
      </c>
      <c r="U98" s="53" t="str">
        <f>VLOOKUP(Data.[[#This Row],[DNI Ejecutivo]],Productividad!C:U,4,0)</f>
        <v>Senior</v>
      </c>
      <c r="V98" s="53" t="str">
        <f>IFERROR(VLOOKUP(Data.[[#This Row],[DNI Ejecutivo]],Ejecutivos.[],11,0),"")</f>
        <v>Lima Hamm</v>
      </c>
      <c r="W98" s="8" t="s">
        <v>48</v>
      </c>
      <c r="X98" s="53" t="str" cm="1">
        <f t="array" ref="X98">IFERROR(_xlfn.IFS(Data.[[#This Row],[Supervisor]]="Jonathan Lapoint","Norte",Data.[[#This Row],[Supervisor]]="Jorge Fuentes","Norte"),"Lima")</f>
        <v>Lima</v>
      </c>
      <c r="Y98" s="53" t="str">
        <f>VLOOKUP(Data.[[#This Row],[Supervisor]],Ejecutivos!B:S,17,0)</f>
        <v>44818200</v>
      </c>
      <c r="Z98" s="54" t="str">
        <f>VLOOKUP(Data.[[#This Row],[DNI Supervisor]],Productividad!C:U,8,0)</f>
        <v>hramirezp@lozapay.com.pe</v>
      </c>
      <c r="AA98" s="8"/>
      <c r="AB98" s="8" t="s">
        <v>49</v>
      </c>
      <c r="AC98" s="53" t="str">
        <f>IFERROR(CONCATENATE(Data.[[#This Row],[DNI Ejecutivo]],Data.[[#This Row],[Periodo]]),"")</f>
        <v>4488101946174</v>
      </c>
      <c r="AD98" s="53" t="str">
        <f>IFERROR(VLOOKUP(Data.[[#This Row],[Código LT]],Reportería.[],10,0),"")</f>
        <v/>
      </c>
      <c r="AE98" s="53" t="str">
        <f>IFERROR(VLOOKUP(Data.[[#This Row],[Código LT]],Reportería.[],11,0),"")</f>
        <v/>
      </c>
      <c r="AF98" s="13">
        <f>IFERROR(VLOOKUP(Data.[[#This Row],[Código]],Reportería!A:BV,57,0),0)</f>
        <v>81010.11</v>
      </c>
      <c r="AG98" s="13"/>
      <c r="AH98" s="13"/>
      <c r="AI98" s="11">
        <f>IF(TEXT(Data.[[#This Row],[Periodo]],"mmm-yy")="may-26",VLOOKUP(Data.[[#This Row],[Código]],Reportería!A:BV,57,0),0)</f>
        <v>0</v>
      </c>
      <c r="AJ98" s="11"/>
      <c r="AK98" s="11"/>
      <c r="AL98" s="11">
        <f>IF(Data.[[#This Row],[Vol M0]]="",0,0)</f>
        <v>0</v>
      </c>
      <c r="AM98" s="11">
        <f>IF(Data.[[#This Row],[Vol M0]]="",0,0)</f>
        <v>0</v>
      </c>
      <c r="AN98" s="11">
        <f>IF(Data.[[#This Row],[Vol M0]]="",0,0)</f>
        <v>0</v>
      </c>
      <c r="AO98" s="11">
        <f>IF(Data.[[#This Row],[Vol M0]]="",0,0)</f>
        <v>0</v>
      </c>
      <c r="AP98" s="11">
        <f>IF(Data.[[#This Row],[Vol M0]]="",0,0)</f>
        <v>0</v>
      </c>
      <c r="AQ98" s="11">
        <f>IF(Data.[[#This Row],[Vol M0]]="",0,0)</f>
        <v>0</v>
      </c>
      <c r="AR98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0.16666666666666666</v>
      </c>
    </row>
    <row r="99" spans="1:44" ht="14.25" customHeight="1">
      <c r="A99" s="53" t="str">
        <f>CONCATENATE(Data.[[#This Row],[Código]],Data.[[#This Row],[Ruc]])</f>
        <v>595787920605346392</v>
      </c>
      <c r="B99" s="9">
        <v>46174</v>
      </c>
      <c r="C99" s="53" t="str">
        <f>IFERROR(VLOOKUP(Data.[[#This Row],[Código LT]],Reportería.[],71,0),"")</f>
        <v/>
      </c>
      <c r="D99" s="10">
        <f>IFERROR(VLOOKUP(Data.[[#This Row],[Código]],BV!A:C,2,0),"")</f>
        <v>46182</v>
      </c>
      <c r="E99" s="10">
        <f>IFERROR(VLOOKUP(Data.[[#This Row],[Código]],BV!A:C,3,0),"")</f>
        <v>46182</v>
      </c>
      <c r="F99" s="53">
        <v>5957879</v>
      </c>
      <c r="G99" s="8" t="s">
        <v>816</v>
      </c>
      <c r="H99" s="8">
        <v>20605346392</v>
      </c>
      <c r="I99" s="8" t="s">
        <v>811</v>
      </c>
      <c r="J99" s="8" t="s">
        <v>812</v>
      </c>
      <c r="K99" s="53" t="str">
        <f>IF(Data.[[#This Row],[Tipo de Venta]]&lt;&gt;"POS","Atendido",IF(Data.[[#This Row],[Fecha de Instalación]]&lt;&gt;"","Atendido","Ingresado"))</f>
        <v>Atendido</v>
      </c>
      <c r="L99" s="53" t="str">
        <f>Data.[[#This Row],[Estado]]</f>
        <v>Atendido</v>
      </c>
      <c r="M99" s="8" t="s">
        <v>33</v>
      </c>
      <c r="N99" s="53" t="str">
        <f>IFERROR(VLOOKUP(Data.[[#This Row],[Código LT]],Reportería.[],20,0),"")</f>
        <v/>
      </c>
      <c r="O99" s="53" t="str">
        <f>IFERROR(VLOOKUP(Data.[[#This Row],[Código LT]],Reportería.[],5,0),"")</f>
        <v/>
      </c>
      <c r="P99" s="11">
        <f>Data.[[#This Row],[GPV Mensual LT]]/COUNTIFS(H:H,Data.[[#This Row],[Ruc]],B:B,Data.[[#This Row],[Periodo]])</f>
        <v>25000</v>
      </c>
      <c r="Q99" s="11">
        <v>150000</v>
      </c>
      <c r="R99" s="8" t="s">
        <v>47</v>
      </c>
      <c r="S99" s="53" t="str">
        <f>VLOOKUP(Data.[[#This Row],[Ejecutivo]],Productividad!D:N,11,0)</f>
        <v>44881019</v>
      </c>
      <c r="T99" s="54" t="str">
        <f>VLOOKUP(Data.[[#This Row],[DNI Ejecutivo]],Productividad!C:U,8,0)</f>
        <v>jackeline.matos@lozapay.com.pe</v>
      </c>
      <c r="U99" s="53" t="str">
        <f>VLOOKUP(Data.[[#This Row],[DNI Ejecutivo]],Productividad!C:U,4,0)</f>
        <v>Senior</v>
      </c>
      <c r="V99" s="53" t="str">
        <f>IFERROR(VLOOKUP(Data.[[#This Row],[DNI Ejecutivo]],Ejecutivos.[],11,0),"")</f>
        <v>Lima Hamm</v>
      </c>
      <c r="W99" s="8" t="s">
        <v>48</v>
      </c>
      <c r="X99" s="53" t="str" cm="1">
        <f t="array" ref="X99">IFERROR(_xlfn.IFS(Data.[[#This Row],[Supervisor]]="Jonathan Lapoint","Norte",Data.[[#This Row],[Supervisor]]="Jorge Fuentes","Norte"),"Lima")</f>
        <v>Lima</v>
      </c>
      <c r="Y99" s="53" t="str">
        <f>VLOOKUP(Data.[[#This Row],[Supervisor]],Ejecutivos!B:S,17,0)</f>
        <v>44818200</v>
      </c>
      <c r="Z99" s="54" t="str">
        <f>VLOOKUP(Data.[[#This Row],[DNI Supervisor]],Productividad!C:U,8,0)</f>
        <v>hramirezp@lozapay.com.pe</v>
      </c>
      <c r="AA99" s="8"/>
      <c r="AB99" s="8" t="s">
        <v>49</v>
      </c>
      <c r="AC99" s="53" t="str">
        <f>IFERROR(CONCATENATE(Data.[[#This Row],[DNI Ejecutivo]],Data.[[#This Row],[Periodo]]),"")</f>
        <v>4488101946174</v>
      </c>
      <c r="AD99" s="53" t="str">
        <f>IFERROR(VLOOKUP(Data.[[#This Row],[Código LT]],Reportería.[],10,0),"")</f>
        <v/>
      </c>
      <c r="AE99" s="53" t="str">
        <f>IFERROR(VLOOKUP(Data.[[#This Row],[Código LT]],Reportería.[],11,0),"")</f>
        <v/>
      </c>
      <c r="AF99" s="13">
        <f>IFERROR(VLOOKUP(Data.[[#This Row],[Código]],Reportería!A:BV,57,0),0)</f>
        <v>60257.66</v>
      </c>
      <c r="AG99" s="13"/>
      <c r="AH99" s="13"/>
      <c r="AI99" s="11">
        <f>IF(TEXT(Data.[[#This Row],[Periodo]],"mmm-yy")="may-26",VLOOKUP(Data.[[#This Row],[Código]],Reportería!A:BV,57,0),0)</f>
        <v>0</v>
      </c>
      <c r="AJ99" s="11"/>
      <c r="AK99" s="11"/>
      <c r="AL99" s="11">
        <f>IF(Data.[[#This Row],[Vol M0]]="",0,0)</f>
        <v>0</v>
      </c>
      <c r="AM99" s="11">
        <f>IF(Data.[[#This Row],[Vol M0]]="",0,0)</f>
        <v>0</v>
      </c>
      <c r="AN99" s="11">
        <f>IF(Data.[[#This Row],[Vol M0]]="",0,0)</f>
        <v>0</v>
      </c>
      <c r="AO99" s="11">
        <f>IF(Data.[[#This Row],[Vol M0]]="",0,0)</f>
        <v>0</v>
      </c>
      <c r="AP99" s="11">
        <f>IF(Data.[[#This Row],[Vol M0]]="",0,0)</f>
        <v>0</v>
      </c>
      <c r="AQ99" s="11">
        <f>IF(Data.[[#This Row],[Vol M0]]="",0,0)</f>
        <v>0</v>
      </c>
      <c r="AR99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0.16666666666666666</v>
      </c>
    </row>
    <row r="100" spans="1:44" ht="14.25" customHeight="1">
      <c r="A100" s="53" t="str">
        <f>CONCATENATE(Data.[[#This Row],[Código]],Data.[[#This Row],[Ruc]])</f>
        <v>595788120605346392</v>
      </c>
      <c r="B100" s="9">
        <v>46174</v>
      </c>
      <c r="C100" s="53" t="str">
        <f>IFERROR(VLOOKUP(Data.[[#This Row],[Código LT]],Reportería.[],71,0),"")</f>
        <v/>
      </c>
      <c r="D100" s="10">
        <f>IFERROR(VLOOKUP(Data.[[#This Row],[Código]],BV!A:C,2,0),"")</f>
        <v>46182</v>
      </c>
      <c r="E100" s="10">
        <f>IFERROR(VLOOKUP(Data.[[#This Row],[Código]],BV!A:C,3,0),"")</f>
        <v>46182</v>
      </c>
      <c r="F100" s="53">
        <v>5957881</v>
      </c>
      <c r="G100" s="8" t="s">
        <v>817</v>
      </c>
      <c r="H100" s="8">
        <v>20605346392</v>
      </c>
      <c r="I100" s="8" t="s">
        <v>811</v>
      </c>
      <c r="J100" s="8" t="s">
        <v>812</v>
      </c>
      <c r="K100" s="53" t="str">
        <f>IF(Data.[[#This Row],[Tipo de Venta]]&lt;&gt;"POS","Atendido",IF(Data.[[#This Row],[Fecha de Instalación]]&lt;&gt;"","Atendido","Ingresado"))</f>
        <v>Atendido</v>
      </c>
      <c r="L100" s="53" t="str">
        <f>Data.[[#This Row],[Estado]]</f>
        <v>Atendido</v>
      </c>
      <c r="M100" s="8" t="s">
        <v>33</v>
      </c>
      <c r="N100" s="53" t="str">
        <f>IFERROR(VLOOKUP(Data.[[#This Row],[Código LT]],Reportería.[],20,0),"")</f>
        <v/>
      </c>
      <c r="O100" s="53" t="str">
        <f>IFERROR(VLOOKUP(Data.[[#This Row],[Código LT]],Reportería.[],5,0),"")</f>
        <v/>
      </c>
      <c r="P100" s="11">
        <f>Data.[[#This Row],[GPV Mensual LT]]/COUNTIFS(H:H,Data.[[#This Row],[Ruc]],B:B,Data.[[#This Row],[Periodo]])</f>
        <v>25000</v>
      </c>
      <c r="Q100" s="11">
        <v>150000</v>
      </c>
      <c r="R100" s="8" t="s">
        <v>47</v>
      </c>
      <c r="S100" s="53" t="str">
        <f>VLOOKUP(Data.[[#This Row],[Ejecutivo]],Productividad!D:N,11,0)</f>
        <v>44881019</v>
      </c>
      <c r="T100" s="54" t="str">
        <f>VLOOKUP(Data.[[#This Row],[DNI Ejecutivo]],Productividad!C:U,8,0)</f>
        <v>jackeline.matos@lozapay.com.pe</v>
      </c>
      <c r="U100" s="53" t="str">
        <f>VLOOKUP(Data.[[#This Row],[DNI Ejecutivo]],Productividad!C:U,4,0)</f>
        <v>Senior</v>
      </c>
      <c r="V100" s="53" t="str">
        <f>IFERROR(VLOOKUP(Data.[[#This Row],[DNI Ejecutivo]],Ejecutivos.[],11,0),"")</f>
        <v>Lima Hamm</v>
      </c>
      <c r="W100" s="8" t="s">
        <v>48</v>
      </c>
      <c r="X100" s="53" t="str" cm="1">
        <f t="array" ref="X100">IFERROR(_xlfn.IFS(Data.[[#This Row],[Supervisor]]="Jonathan Lapoint","Norte",Data.[[#This Row],[Supervisor]]="Jorge Fuentes","Norte"),"Lima")</f>
        <v>Lima</v>
      </c>
      <c r="Y100" s="53" t="str">
        <f>VLOOKUP(Data.[[#This Row],[Supervisor]],Ejecutivos!B:S,17,0)</f>
        <v>44818200</v>
      </c>
      <c r="Z100" s="54" t="str">
        <f>VLOOKUP(Data.[[#This Row],[DNI Supervisor]],Productividad!C:U,8,0)</f>
        <v>hramirezp@lozapay.com.pe</v>
      </c>
      <c r="AA100" s="8"/>
      <c r="AB100" s="8" t="s">
        <v>49</v>
      </c>
      <c r="AC100" s="53" t="str">
        <f>IFERROR(CONCATENATE(Data.[[#This Row],[DNI Ejecutivo]],Data.[[#This Row],[Periodo]]),"")</f>
        <v>4488101946174</v>
      </c>
      <c r="AD100" s="53" t="str">
        <f>IFERROR(VLOOKUP(Data.[[#This Row],[Código LT]],Reportería.[],10,0),"")</f>
        <v/>
      </c>
      <c r="AE100" s="53" t="str">
        <f>IFERROR(VLOOKUP(Data.[[#This Row],[Código LT]],Reportería.[],11,0),"")</f>
        <v/>
      </c>
      <c r="AF100" s="13">
        <f>IFERROR(VLOOKUP(Data.[[#This Row],[Código]],Reportería!A:BV,57,0),0)</f>
        <v>2029.48</v>
      </c>
      <c r="AG100" s="13"/>
      <c r="AH100" s="13"/>
      <c r="AI100" s="11">
        <f>IF(TEXT(Data.[[#This Row],[Periodo]],"mmm-yy")="may-26",VLOOKUP(Data.[[#This Row],[Código]],Reportería!A:BV,57,0),0)</f>
        <v>0</v>
      </c>
      <c r="AJ100" s="11"/>
      <c r="AK100" s="11"/>
      <c r="AL100" s="11">
        <f>IF(Data.[[#This Row],[Vol M0]]="",0,0)</f>
        <v>0</v>
      </c>
      <c r="AM100" s="11">
        <f>IF(Data.[[#This Row],[Vol M0]]="",0,0)</f>
        <v>0</v>
      </c>
      <c r="AN100" s="11">
        <f>IF(Data.[[#This Row],[Vol M0]]="",0,0)</f>
        <v>0</v>
      </c>
      <c r="AO100" s="11">
        <f>IF(Data.[[#This Row],[Vol M0]]="",0,0)</f>
        <v>0</v>
      </c>
      <c r="AP100" s="11">
        <f>IF(Data.[[#This Row],[Vol M0]]="",0,0)</f>
        <v>0</v>
      </c>
      <c r="AQ100" s="11">
        <f>IF(Data.[[#This Row],[Vol M0]]="",0,0)</f>
        <v>0</v>
      </c>
      <c r="AR100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0.16666666666666666</v>
      </c>
    </row>
    <row r="101" spans="1:44" ht="14.25" customHeight="1">
      <c r="A101" s="53" t="str">
        <f>CONCATENATE(Data.[[#This Row],[Código]],Data.[[#This Row],[Ruc]])</f>
        <v>595774020612334499</v>
      </c>
      <c r="B101" s="9">
        <v>46174</v>
      </c>
      <c r="C101" s="53" t="str">
        <f>IFERROR(VLOOKUP(Data.[[#This Row],[Código LT]],Reportería.[],71,0),"")</f>
        <v/>
      </c>
      <c r="D101" s="10">
        <f>IFERROR(VLOOKUP(Data.[[#This Row],[Código]],BV!A:C,2,0),"")</f>
        <v>46182</v>
      </c>
      <c r="E101" s="10">
        <f>IFERROR(VLOOKUP(Data.[[#This Row],[Código]],BV!A:C,3,0),"")</f>
        <v>46182</v>
      </c>
      <c r="F101" s="53">
        <v>5957740</v>
      </c>
      <c r="G101" s="8" t="s">
        <v>818</v>
      </c>
      <c r="H101" s="8">
        <v>20612334499</v>
      </c>
      <c r="I101" s="8" t="s">
        <v>753</v>
      </c>
      <c r="J101" s="8" t="s">
        <v>819</v>
      </c>
      <c r="K101" s="53" t="str">
        <f>IF(Data.[[#This Row],[Tipo de Venta]]&lt;&gt;"POS","Atendido",IF(Data.[[#This Row],[Fecha de Instalación]]&lt;&gt;"","Atendido","Ingresado"))</f>
        <v>Atendido</v>
      </c>
      <c r="L101" s="53" t="str">
        <f>Data.[[#This Row],[Estado]]</f>
        <v>Atendido</v>
      </c>
      <c r="M101" s="8" t="s">
        <v>33</v>
      </c>
      <c r="N101" s="53" t="str">
        <f>IFERROR(VLOOKUP(Data.[[#This Row],[Código LT]],Reportería.[],20,0),"")</f>
        <v/>
      </c>
      <c r="O101" s="53" t="str">
        <f>IFERROR(VLOOKUP(Data.[[#This Row],[Código LT]],Reportería.[],5,0),"")</f>
        <v/>
      </c>
      <c r="P101" s="11">
        <f>Data.[[#This Row],[GPV Mensual LT]]/COUNTIFS(H:H,Data.[[#This Row],[Ruc]],B:B,Data.[[#This Row],[Periodo]])</f>
        <v>10000</v>
      </c>
      <c r="Q101" s="11">
        <v>30000</v>
      </c>
      <c r="R101" s="8" t="s">
        <v>284</v>
      </c>
      <c r="S101" s="53" t="str">
        <f>VLOOKUP(Data.[[#This Row],[Ejecutivo]],Productividad!D:N,11,0)</f>
        <v>71870286</v>
      </c>
      <c r="T101" s="54" t="str">
        <f>VLOOKUP(Data.[[#This Row],[DNI Ejecutivo]],Productividad!C:U,8,0)</f>
        <v>william.cortez@lozapay.com.pe</v>
      </c>
      <c r="U101" s="53" t="str">
        <f>VLOOKUP(Data.[[#This Row],[DNI Ejecutivo]],Productividad!C:U,4,0)</f>
        <v>Senior</v>
      </c>
      <c r="V101" s="53" t="str">
        <f>IFERROR(VLOOKUP(Data.[[#This Row],[DNI Ejecutivo]],Ejecutivos.[],11,0),"")</f>
        <v>Norte Lapoint</v>
      </c>
      <c r="W101" s="8" t="s">
        <v>98</v>
      </c>
      <c r="X101" s="53" t="str" cm="1">
        <f t="array" ref="X101">IFERROR(_xlfn.IFS(Data.[[#This Row],[Supervisor]]="Jonathan Lapoint","Norte",Data.[[#This Row],[Supervisor]]="Jorge Fuentes","Norte"),"Lima")</f>
        <v>Norte</v>
      </c>
      <c r="Y101" s="53" t="str">
        <f>VLOOKUP(Data.[[#This Row],[Supervisor]],Ejecutivos!B:S,17,0)</f>
        <v>70430554</v>
      </c>
      <c r="Z101" s="54" t="str">
        <f>VLOOKUP(Data.[[#This Row],[DNI Supervisor]],Productividad!C:U,8,0)</f>
        <v>jlapointp@lozapay.com.pe</v>
      </c>
      <c r="AA101" s="8"/>
      <c r="AB101" s="8" t="s">
        <v>786</v>
      </c>
      <c r="AC101" s="53" t="str">
        <f>IFERROR(CONCATENATE(Data.[[#This Row],[DNI Ejecutivo]],Data.[[#This Row],[Periodo]]),"")</f>
        <v>7187028646174</v>
      </c>
      <c r="AD101" s="53" t="str">
        <f>IFERROR(VLOOKUP(Data.[[#This Row],[Código LT]],Reportería.[],10,0),"")</f>
        <v/>
      </c>
      <c r="AE101" s="53" t="str">
        <f>IFERROR(VLOOKUP(Data.[[#This Row],[Código LT]],Reportería.[],11,0),"")</f>
        <v/>
      </c>
      <c r="AF101" s="13">
        <f>IFERROR(VLOOKUP(Data.[[#This Row],[Código]],Reportería!A:BV,57,0),0)</f>
        <v>11988.5</v>
      </c>
      <c r="AG101" s="13"/>
      <c r="AH101" s="13"/>
      <c r="AI101" s="11">
        <f>IF(TEXT(Data.[[#This Row],[Periodo]],"mmm-yy")="may-26",VLOOKUP(Data.[[#This Row],[Código]],Reportería!A:BV,57,0),0)</f>
        <v>0</v>
      </c>
      <c r="AJ101" s="11"/>
      <c r="AK101" s="11"/>
      <c r="AL101" s="11">
        <f>IF(Data.[[#This Row],[Vol M0]]="",0,0)</f>
        <v>0</v>
      </c>
      <c r="AM101" s="11">
        <f>IF(Data.[[#This Row],[Vol M0]]="",0,0)</f>
        <v>0</v>
      </c>
      <c r="AN101" s="11">
        <f>IF(Data.[[#This Row],[Vol M0]]="",0,0)</f>
        <v>0</v>
      </c>
      <c r="AO101" s="11">
        <f>IF(Data.[[#This Row],[Vol M0]]="",0,0)</f>
        <v>0</v>
      </c>
      <c r="AP101" s="11">
        <f>IF(Data.[[#This Row],[Vol M0]]="",0,0)</f>
        <v>0</v>
      </c>
      <c r="AQ101" s="11">
        <f>IF(Data.[[#This Row],[Vol M0]]="",0,0)</f>
        <v>0</v>
      </c>
      <c r="AR101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0.33333333333333331</v>
      </c>
    </row>
    <row r="102" spans="1:44" ht="14.25" customHeight="1">
      <c r="A102" s="55" t="str">
        <f>CONCATENATE(Data.[[#This Row],[Código]],Data.[[#This Row],[Ruc]])</f>
        <v>595774520612334499</v>
      </c>
      <c r="B102" s="9">
        <v>46174</v>
      </c>
      <c r="C102" s="55" t="str">
        <f>IFERROR(VLOOKUP(Data.[[#This Row],[Código LT]],Reportería.[],71,0),"")</f>
        <v/>
      </c>
      <c r="D102" s="52">
        <f>IFERROR(VLOOKUP(Data.[[#This Row],[Código]],BV!A:C,2,0),"")</f>
        <v>46182</v>
      </c>
      <c r="E102" s="52">
        <f>IFERROR(VLOOKUP(Data.[[#This Row],[Código]],BV!A:C,3,0),"")</f>
        <v>46182</v>
      </c>
      <c r="F102" s="55">
        <v>5957745</v>
      </c>
      <c r="G102" s="12" t="s">
        <v>820</v>
      </c>
      <c r="H102" s="12">
        <v>20612334499</v>
      </c>
      <c r="I102" s="12" t="s">
        <v>753</v>
      </c>
      <c r="J102" s="12" t="s">
        <v>819</v>
      </c>
      <c r="K102" s="55" t="str">
        <f>IF(Data.[[#This Row],[Tipo de Venta]]&lt;&gt;"POS","Atendido",IF(Data.[[#This Row],[Fecha de Instalación]]&lt;&gt;"","Atendido","Ingresado"))</f>
        <v>Atendido</v>
      </c>
      <c r="L102" s="55" t="str">
        <f>Data.[[#This Row],[Estado]]</f>
        <v>Atendido</v>
      </c>
      <c r="M102" s="8" t="s">
        <v>33</v>
      </c>
      <c r="N102" s="55" t="str">
        <f>IFERROR(VLOOKUP(Data.[[#This Row],[Código LT]],Reportería.[],20,0),"")</f>
        <v/>
      </c>
      <c r="O102" s="55" t="str">
        <f>IFERROR(VLOOKUP(Data.[[#This Row],[Código LT]],Reportería.[],5,0),"")</f>
        <v/>
      </c>
      <c r="P102" s="13">
        <f>Data.[[#This Row],[GPV Mensual LT]]/COUNTIFS(H:H,Data.[[#This Row],[Ruc]],B:B,Data.[[#This Row],[Periodo]])</f>
        <v>10000</v>
      </c>
      <c r="Q102" s="13">
        <v>30000</v>
      </c>
      <c r="R102" s="12" t="s">
        <v>284</v>
      </c>
      <c r="S102" s="55" t="str">
        <f>VLOOKUP(Data.[[#This Row],[Ejecutivo]],Productividad!D:N,11,0)</f>
        <v>71870286</v>
      </c>
      <c r="T102" s="56" t="str">
        <f>VLOOKUP(Data.[[#This Row],[DNI Ejecutivo]],Productividad!C:U,8,0)</f>
        <v>william.cortez@lozapay.com.pe</v>
      </c>
      <c r="U102" s="55" t="str">
        <f>VLOOKUP(Data.[[#This Row],[DNI Ejecutivo]],Productividad!C:U,4,0)</f>
        <v>Senior</v>
      </c>
      <c r="V102" s="55" t="str">
        <f>IFERROR(VLOOKUP(Data.[[#This Row],[DNI Ejecutivo]],Ejecutivos.[],11,0),"")</f>
        <v>Norte Lapoint</v>
      </c>
      <c r="W102" s="12" t="s">
        <v>98</v>
      </c>
      <c r="X102" s="55" t="str" cm="1">
        <f t="array" ref="X102">IFERROR(_xlfn.IFS(Data.[[#This Row],[Supervisor]]="Jonathan Lapoint","Norte",Data.[[#This Row],[Supervisor]]="Jorge Fuentes","Norte"),"Lima")</f>
        <v>Norte</v>
      </c>
      <c r="Y102" s="55" t="str">
        <f>VLOOKUP(Data.[[#This Row],[Supervisor]],Ejecutivos!B:S,17,0)</f>
        <v>70430554</v>
      </c>
      <c r="Z102" s="56" t="str">
        <f>VLOOKUP(Data.[[#This Row],[DNI Supervisor]],Productividad!C:U,8,0)</f>
        <v>jlapointp@lozapay.com.pe</v>
      </c>
      <c r="AA102" s="12"/>
      <c r="AB102" s="12" t="s">
        <v>786</v>
      </c>
      <c r="AC102" s="55" t="str">
        <f>IFERROR(CONCATENATE(Data.[[#This Row],[DNI Ejecutivo]],Data.[[#This Row],[Periodo]]),"")</f>
        <v>7187028646174</v>
      </c>
      <c r="AD102" s="55" t="str">
        <f>IFERROR(VLOOKUP(Data.[[#This Row],[Código LT]],Reportería.[],10,0),"")</f>
        <v/>
      </c>
      <c r="AE102" s="55" t="str">
        <f>IFERROR(VLOOKUP(Data.[[#This Row],[Código LT]],Reportería.[],11,0),"")</f>
        <v/>
      </c>
      <c r="AF102" s="13">
        <f>IFERROR(VLOOKUP(Data.[[#This Row],[Código]],Reportería!A:BV,57,0),0)</f>
        <v>3962</v>
      </c>
      <c r="AG102" s="13"/>
      <c r="AH102" s="13"/>
      <c r="AI102" s="11">
        <f>IF(TEXT(Data.[[#This Row],[Periodo]],"mmm-yy")="may-26",VLOOKUP(Data.[[#This Row],[Código]],Reportería!A:BV,57,0),0)</f>
        <v>0</v>
      </c>
      <c r="AJ102" s="13"/>
      <c r="AK102" s="13"/>
      <c r="AL102" s="13">
        <f>IF(Data.[[#This Row],[Vol M0]]="",0,0)</f>
        <v>0</v>
      </c>
      <c r="AM102" s="13">
        <f>IF(Data.[[#This Row],[Vol M0]]="",0,0)</f>
        <v>0</v>
      </c>
      <c r="AN102" s="13">
        <f>IF(Data.[[#This Row],[Vol M0]]="",0,0)</f>
        <v>0</v>
      </c>
      <c r="AO102" s="13">
        <f>IF(Data.[[#This Row],[Vol M0]]="",0,0)</f>
        <v>0</v>
      </c>
      <c r="AP102" s="13">
        <f>IF(Data.[[#This Row],[Vol M0]]="",0,0)</f>
        <v>0</v>
      </c>
      <c r="AQ102" s="13">
        <f>IF(Data.[[#This Row],[Vol M0]]="",0,0)</f>
        <v>0</v>
      </c>
      <c r="AR102" s="13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0.33333333333333331</v>
      </c>
    </row>
    <row r="103" spans="1:44" ht="14.25" customHeight="1">
      <c r="A103" s="53" t="str">
        <f>CONCATENATE(Data.[[#This Row],[Código]],Data.[[#This Row],[Ruc]])</f>
        <v>595763220600548663</v>
      </c>
      <c r="B103" s="9">
        <v>46174</v>
      </c>
      <c r="C103" s="53" t="str">
        <f>IFERROR(VLOOKUP(Data.[[#This Row],[Código LT]],Reportería.[],71,0),"")</f>
        <v/>
      </c>
      <c r="D103" s="10">
        <f>IFERROR(VLOOKUP(Data.[[#This Row],[Código]],BV!A:C,2,0),"")</f>
        <v>46182</v>
      </c>
      <c r="E103" s="10">
        <f>IFERROR(VLOOKUP(Data.[[#This Row],[Código]],BV!A:C,3,0),"")</f>
        <v>0</v>
      </c>
      <c r="F103" s="53">
        <v>5957632</v>
      </c>
      <c r="G103" s="8" t="s">
        <v>889</v>
      </c>
      <c r="H103" s="8">
        <v>20600548663</v>
      </c>
      <c r="I103" s="8" t="s">
        <v>890</v>
      </c>
      <c r="J103" s="8" t="s">
        <v>891</v>
      </c>
      <c r="K103" s="53" t="str">
        <f>IF(Data.[[#This Row],[Tipo de Venta]]&lt;&gt;"POS","Atendido",IF(Data.[[#This Row],[Fecha de Instalación]]&lt;&gt;"","Atendido","Ingresado"))</f>
        <v>Atendido</v>
      </c>
      <c r="L103" s="53" t="str">
        <f>Data.[[#This Row],[Estado]]</f>
        <v>Atendido</v>
      </c>
      <c r="M103" s="8" t="s">
        <v>33</v>
      </c>
      <c r="N103" s="53" t="str">
        <f>IFERROR(VLOOKUP(Data.[[#This Row],[Código LT]],Reportería.[],20,0),"")</f>
        <v/>
      </c>
      <c r="O103" s="53" t="str">
        <f>IFERROR(VLOOKUP(Data.[[#This Row],[Código LT]],Reportería.[],5,0),"")</f>
        <v/>
      </c>
      <c r="P103" s="11">
        <f>Data.[[#This Row],[GPV Mensual LT]]/COUNTIFS(H:H,Data.[[#This Row],[Ruc]],B:B,Data.[[#This Row],[Periodo]])</f>
        <v>120000</v>
      </c>
      <c r="Q103" s="11">
        <v>120000</v>
      </c>
      <c r="R103" s="8" t="s">
        <v>159</v>
      </c>
      <c r="S103" s="53" t="str">
        <f>VLOOKUP(Data.[[#This Row],[Ejecutivo]],Productividad!D:N,11,0)</f>
        <v>76524006</v>
      </c>
      <c r="T103" s="54" t="str">
        <f>VLOOKUP(Data.[[#This Row],[DNI Ejecutivo]],Productividad!C:U,8,0)</f>
        <v>jjaimesb@lozapay.com.pe</v>
      </c>
      <c r="U103" s="53" t="str">
        <f>VLOOKUP(Data.[[#This Row],[DNI Ejecutivo]],Productividad!C:U,4,0)</f>
        <v>Senior</v>
      </c>
      <c r="V103" s="53" t="str">
        <f>IFERROR(VLOOKUP(Data.[[#This Row],[DNI Ejecutivo]],Ejecutivos.[],11,0),"")</f>
        <v>Lima Palomino</v>
      </c>
      <c r="W103" s="8" t="s">
        <v>35</v>
      </c>
      <c r="X103" s="53" t="str" cm="1">
        <f t="array" ref="X103">IFERROR(_xlfn.IFS(Data.[[#This Row],[Supervisor]]="Jonathan Lapoint","Norte",Data.[[#This Row],[Supervisor]]="Jorge Fuentes","Norte"),"Lima")</f>
        <v>Lima</v>
      </c>
      <c r="Y103" s="53" t="str">
        <f>VLOOKUP(Data.[[#This Row],[Supervisor]],Ejecutivos!B:S,17,0)</f>
        <v>41718975</v>
      </c>
      <c r="Z103" s="54" t="str">
        <f>VLOOKUP(Data.[[#This Row],[DNI Supervisor]],Productividad!C:U,8,0)</f>
        <v>carlos.palomino@lozapay.com.pe</v>
      </c>
      <c r="AA103" s="8"/>
      <c r="AB103" s="8" t="s">
        <v>160</v>
      </c>
      <c r="AC103" s="53" t="str">
        <f>IFERROR(CONCATENATE(Data.[[#This Row],[DNI Ejecutivo]],Data.[[#This Row],[Periodo]]),"")</f>
        <v>7652400646174</v>
      </c>
      <c r="AD103" s="53" t="str">
        <f>IFERROR(VLOOKUP(Data.[[#This Row],[Código LT]],Reportería.[],10,0),"")</f>
        <v/>
      </c>
      <c r="AE103" s="53" t="str">
        <f>IFERROR(VLOOKUP(Data.[[#This Row],[Código LT]],Reportería.[],11,0),"")</f>
        <v/>
      </c>
      <c r="AF103" s="13">
        <f>IFERROR(VLOOKUP(Data.[[#This Row],[Código]],Reportería!A:BV,57,0),0)</f>
        <v>16002.45</v>
      </c>
      <c r="AG103" s="13"/>
      <c r="AH103" s="13"/>
      <c r="AI103" s="11">
        <f>IF(TEXT(Data.[[#This Row],[Periodo]],"mmm-yy")="may-26",VLOOKUP(Data.[[#This Row],[Código]],Reportería!A:BV,57,0),0)</f>
        <v>0</v>
      </c>
      <c r="AJ103" s="11"/>
      <c r="AK103" s="11"/>
      <c r="AL103" s="11">
        <f>IF(Data.[[#This Row],[Vol M0]]="",0,0)</f>
        <v>0</v>
      </c>
      <c r="AM103" s="11">
        <f>IF(Data.[[#This Row],[Vol M0]]="",0,0)</f>
        <v>0</v>
      </c>
      <c r="AN103" s="11">
        <f>IF(Data.[[#This Row],[Vol M0]]="",0,0)</f>
        <v>0</v>
      </c>
      <c r="AO103" s="11">
        <f>IF(Data.[[#This Row],[Vol M0]]="",0,0)</f>
        <v>0</v>
      </c>
      <c r="AP103" s="11">
        <f>IF(Data.[[#This Row],[Vol M0]]="",0,0)</f>
        <v>0</v>
      </c>
      <c r="AQ103" s="11">
        <f>IF(Data.[[#This Row],[Vol M0]]="",0,0)</f>
        <v>0</v>
      </c>
      <c r="AR103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1</v>
      </c>
    </row>
    <row r="104" spans="1:44" ht="14.25" customHeight="1">
      <c r="A104" s="53" t="str">
        <f>CONCATENATE(Data.[[#This Row],[Código]],Data.[[#This Row],[Ruc]])</f>
        <v>105895220172065598</v>
      </c>
      <c r="B104" s="9">
        <v>46174</v>
      </c>
      <c r="C104" s="53" t="str">
        <f>IFERROR(VLOOKUP(Data.[[#This Row],[Código LT]],Reportería.[],71,0),"")</f>
        <v/>
      </c>
      <c r="D104" s="10">
        <f>IFERROR(VLOOKUP(Data.[[#This Row],[Código]],BV!A:C,2,0),"")</f>
        <v>46183</v>
      </c>
      <c r="E104" s="10">
        <f>IFERROR(VLOOKUP(Data.[[#This Row],[Código]],BV!A:C,3,0),"")</f>
        <v>0</v>
      </c>
      <c r="F104" s="53">
        <v>1058952</v>
      </c>
      <c r="G104" s="8"/>
      <c r="H104" s="8">
        <v>20172065598</v>
      </c>
      <c r="I104" s="8" t="s">
        <v>783</v>
      </c>
      <c r="J104" s="8" t="s">
        <v>892</v>
      </c>
      <c r="K104" s="53" t="str">
        <f>IF(Data.[[#This Row],[Tipo de Venta]]&lt;&gt;"POS","Atendido",IF(Data.[[#This Row],[Fecha de Instalación]]&lt;&gt;"","Atendido","Ingresado"))</f>
        <v>Atendido</v>
      </c>
      <c r="L104" s="53" t="str">
        <f>Data.[[#This Row],[Estado]]</f>
        <v>Atendido</v>
      </c>
      <c r="M104" s="8" t="s">
        <v>33</v>
      </c>
      <c r="N104" s="53" t="str">
        <f>IFERROR(VLOOKUP(Data.[[#This Row],[Código LT]],Reportería.[],20,0),"")</f>
        <v/>
      </c>
      <c r="O104" s="53" t="str">
        <f>IFERROR(VLOOKUP(Data.[[#This Row],[Código LT]],Reportería.[],5,0),"")</f>
        <v/>
      </c>
      <c r="P104" s="11">
        <f>Data.[[#This Row],[GPV Mensual LT]]/COUNTIFS(H:H,Data.[[#This Row],[Ruc]],B:B,Data.[[#This Row],[Periodo]])</f>
        <v>50000</v>
      </c>
      <c r="Q104" s="11">
        <v>100000</v>
      </c>
      <c r="R104" s="8" t="s">
        <v>47</v>
      </c>
      <c r="S104" s="53" t="str">
        <f>VLOOKUP(Data.[[#This Row],[Ejecutivo]],Productividad!D:N,11,0)</f>
        <v>44881019</v>
      </c>
      <c r="T104" s="54" t="str">
        <f>VLOOKUP(Data.[[#This Row],[DNI Ejecutivo]],Productividad!C:U,8,0)</f>
        <v>jackeline.matos@lozapay.com.pe</v>
      </c>
      <c r="U104" s="53" t="str">
        <f>VLOOKUP(Data.[[#This Row],[DNI Ejecutivo]],Productividad!C:U,4,0)</f>
        <v>Senior</v>
      </c>
      <c r="V104" s="53" t="str">
        <f>IFERROR(VLOOKUP(Data.[[#This Row],[DNI Ejecutivo]],Ejecutivos.[],11,0),"")</f>
        <v>Lima Hamm</v>
      </c>
      <c r="W104" s="8" t="s">
        <v>48</v>
      </c>
      <c r="X104" s="53" t="str" cm="1">
        <f t="array" ref="X104">IFERROR(_xlfn.IFS(Data.[[#This Row],[Supervisor]]="Jonathan Lapoint","Norte",Data.[[#This Row],[Supervisor]]="Jorge Fuentes","Norte"),"Lima")</f>
        <v>Lima</v>
      </c>
      <c r="Y104" s="53" t="str">
        <f>VLOOKUP(Data.[[#This Row],[Supervisor]],Ejecutivos!B:S,17,0)</f>
        <v>44818200</v>
      </c>
      <c r="Z104" s="54" t="str">
        <f>VLOOKUP(Data.[[#This Row],[DNI Supervisor]],Productividad!C:U,8,0)</f>
        <v>hramirezp@lozapay.com.pe</v>
      </c>
      <c r="AA104" s="8"/>
      <c r="AB104" s="8" t="s">
        <v>49</v>
      </c>
      <c r="AC104" s="53" t="str">
        <f>IFERROR(CONCATENATE(Data.[[#This Row],[DNI Ejecutivo]],Data.[[#This Row],[Periodo]]),"")</f>
        <v>4488101946174</v>
      </c>
      <c r="AD104" s="53" t="str">
        <f>IFERROR(VLOOKUP(Data.[[#This Row],[Código LT]],Reportería.[],10,0),"")</f>
        <v/>
      </c>
      <c r="AE104" s="53" t="str">
        <f>IFERROR(VLOOKUP(Data.[[#This Row],[Código LT]],Reportería.[],11,0),"")</f>
        <v/>
      </c>
      <c r="AF104" s="13">
        <f>IFERROR(VLOOKUP(Data.[[#This Row],[Código]],Reportería!A:BV,57,0),0)</f>
        <v>0</v>
      </c>
      <c r="AG104" s="13"/>
      <c r="AH104" s="13"/>
      <c r="AI104" s="11">
        <f>IF(TEXT(Data.[[#This Row],[Periodo]],"mmm-yy")="may-26",VLOOKUP(Data.[[#This Row],[Código]],Reportería!A:BV,57,0),0)</f>
        <v>0</v>
      </c>
      <c r="AJ104" s="11"/>
      <c r="AK104" s="11"/>
      <c r="AL104" s="11">
        <f>IF(Data.[[#This Row],[Vol M0]]="",0,0)</f>
        <v>0</v>
      </c>
      <c r="AM104" s="11">
        <f>IF(Data.[[#This Row],[Vol M0]]="",0,0)</f>
        <v>0</v>
      </c>
      <c r="AN104" s="11">
        <f>IF(Data.[[#This Row],[Vol M0]]="",0,0)</f>
        <v>0</v>
      </c>
      <c r="AO104" s="11">
        <f>IF(Data.[[#This Row],[Vol M0]]="",0,0)</f>
        <v>0</v>
      </c>
      <c r="AP104" s="11">
        <f>IF(Data.[[#This Row],[Vol M0]]="",0,0)</f>
        <v>0</v>
      </c>
      <c r="AQ104" s="11">
        <f>IF(Data.[[#This Row],[Vol M0]]="",0,0)</f>
        <v>0</v>
      </c>
      <c r="AR104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05" spans="1:44" ht="14.25" customHeight="1">
      <c r="A105" s="53" t="str">
        <f>CONCATENATE(Data.[[#This Row],[Código]],Data.[[#This Row],[Ruc]])</f>
        <v>595871420603005920</v>
      </c>
      <c r="B105" s="9">
        <v>46174</v>
      </c>
      <c r="C105" s="53" t="str">
        <f>IFERROR(VLOOKUP(Data.[[#This Row],[Código LT]],Reportería.[],71,0),"")</f>
        <v/>
      </c>
      <c r="D105" s="10">
        <f>IFERROR(VLOOKUP(Data.[[#This Row],[Código]],BV!A:C,2,0),"")</f>
        <v>46183</v>
      </c>
      <c r="E105" s="10">
        <f>IFERROR(VLOOKUP(Data.[[#This Row],[Código]],BV!A:C,3,0),"")</f>
        <v>46191</v>
      </c>
      <c r="F105" s="53">
        <v>5958714</v>
      </c>
      <c r="G105" s="8" t="s">
        <v>893</v>
      </c>
      <c r="H105" s="8">
        <v>20603005920</v>
      </c>
      <c r="I105" s="8" t="s">
        <v>894</v>
      </c>
      <c r="J105" s="8" t="s">
        <v>895</v>
      </c>
      <c r="K105" s="53" t="str">
        <f>IF(Data.[[#This Row],[Tipo de Venta]]&lt;&gt;"POS","Atendido",IF(Data.[[#This Row],[Fecha de Instalación]]&lt;&gt;"","Atendido","Ingresado"))</f>
        <v>Atendido</v>
      </c>
      <c r="L105" s="53" t="str">
        <f>Data.[[#This Row],[Estado]]</f>
        <v>Atendido</v>
      </c>
      <c r="M105" s="8" t="s">
        <v>33</v>
      </c>
      <c r="N105" s="53" t="str">
        <f>IFERROR(VLOOKUP(Data.[[#This Row],[Código LT]],Reportería.[],20,0),"")</f>
        <v/>
      </c>
      <c r="O105" s="53" t="str">
        <f>IFERROR(VLOOKUP(Data.[[#This Row],[Código LT]],Reportería.[],5,0),"")</f>
        <v/>
      </c>
      <c r="P105" s="11">
        <f>Data.[[#This Row],[GPV Mensual LT]]/COUNTIFS(H:H,Data.[[#This Row],[Ruc]],B:B,Data.[[#This Row],[Periodo]])</f>
        <v>23333.333333333332</v>
      </c>
      <c r="Q105" s="11">
        <v>70000</v>
      </c>
      <c r="R105" s="8" t="s">
        <v>203</v>
      </c>
      <c r="S105" s="53" t="str">
        <f>VLOOKUP(Data.[[#This Row],[Ejecutivo]],Productividad!D:N,11,0)</f>
        <v>77042102</v>
      </c>
      <c r="T105" s="54" t="str">
        <f>VLOOKUP(Data.[[#This Row],[DNI Ejecutivo]],Productividad!C:U,8,0)</f>
        <v>cesar.perez@lozapay.com.pe</v>
      </c>
      <c r="U105" s="53" t="str">
        <f>VLOOKUP(Data.[[#This Row],[DNI Ejecutivo]],Productividad!C:U,4,0)</f>
        <v>Hunter</v>
      </c>
      <c r="V105" s="53" t="str">
        <f>IFERROR(VLOOKUP(Data.[[#This Row],[DNI Ejecutivo]],Ejecutivos.[],11,0),"")</f>
        <v>Lima Hamm</v>
      </c>
      <c r="W105" s="8" t="s">
        <v>48</v>
      </c>
      <c r="X105" s="53" t="str" cm="1">
        <f t="array" ref="X105">IFERROR(_xlfn.IFS(Data.[[#This Row],[Supervisor]]="Jonathan Lapoint","Norte",Data.[[#This Row],[Supervisor]]="Jorge Fuentes","Norte"),"Lima")</f>
        <v>Lima</v>
      </c>
      <c r="Y105" s="53" t="str">
        <f>VLOOKUP(Data.[[#This Row],[Supervisor]],Ejecutivos!B:S,17,0)</f>
        <v>44818200</v>
      </c>
      <c r="Z105" s="54" t="str">
        <f>VLOOKUP(Data.[[#This Row],[DNI Supervisor]],Productividad!C:U,8,0)</f>
        <v>hramirezp@lozapay.com.pe</v>
      </c>
      <c r="AA105" s="8"/>
      <c r="AB105" s="8" t="s">
        <v>204</v>
      </c>
      <c r="AC105" s="53" t="str">
        <f>IFERROR(CONCATENATE(Data.[[#This Row],[DNI Ejecutivo]],Data.[[#This Row],[Periodo]]),"")</f>
        <v>7704210246174</v>
      </c>
      <c r="AD105" s="53" t="str">
        <f>IFERROR(VLOOKUP(Data.[[#This Row],[Código LT]],Reportería.[],10,0),"")</f>
        <v/>
      </c>
      <c r="AE105" s="53" t="str">
        <f>IFERROR(VLOOKUP(Data.[[#This Row],[Código LT]],Reportería.[],11,0),"")</f>
        <v/>
      </c>
      <c r="AF105" s="13">
        <f>IFERROR(VLOOKUP(Data.[[#This Row],[Código]],Reportería!A:BV,57,0),0)</f>
        <v>0</v>
      </c>
      <c r="AG105" s="13"/>
      <c r="AH105" s="13"/>
      <c r="AI105" s="11">
        <f>IF(TEXT(Data.[[#This Row],[Periodo]],"mmm-yy")="may-26",VLOOKUP(Data.[[#This Row],[Código]],Reportería!A:BV,57,0),0)</f>
        <v>0</v>
      </c>
      <c r="AJ105" s="11"/>
      <c r="AK105" s="11"/>
      <c r="AL105" s="11">
        <f>IF(Data.[[#This Row],[Vol M0]]="",0,0)</f>
        <v>0</v>
      </c>
      <c r="AM105" s="11">
        <f>IF(Data.[[#This Row],[Vol M0]]="",0,0)</f>
        <v>0</v>
      </c>
      <c r="AN105" s="11">
        <f>IF(Data.[[#This Row],[Vol M0]]="",0,0)</f>
        <v>0</v>
      </c>
      <c r="AO105" s="11">
        <f>IF(Data.[[#This Row],[Vol M0]]="",0,0)</f>
        <v>0</v>
      </c>
      <c r="AP105" s="11">
        <f>IF(Data.[[#This Row],[Vol M0]]="",0,0)</f>
        <v>0</v>
      </c>
      <c r="AQ105" s="11">
        <f>IF(Data.[[#This Row],[Vol M0]]="",0,0)</f>
        <v>0</v>
      </c>
      <c r="AR105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06" spans="1:44" ht="14.25" customHeight="1">
      <c r="A106" s="53" t="str">
        <f>CONCATENATE(Data.[[#This Row],[Código]],Data.[[#This Row],[Ruc]])</f>
        <v>595871820603005920</v>
      </c>
      <c r="B106" s="9">
        <v>46174</v>
      </c>
      <c r="C106" s="53" t="str">
        <f>IFERROR(VLOOKUP(Data.[[#This Row],[Código LT]],Reportería.[],71,0),"")</f>
        <v/>
      </c>
      <c r="D106" s="10">
        <f>IFERROR(VLOOKUP(Data.[[#This Row],[Código]],BV!A:C,2,0),"")</f>
        <v>46183</v>
      </c>
      <c r="E106" s="10">
        <f>IFERROR(VLOOKUP(Data.[[#This Row],[Código]],BV!A:C,3,0),"")</f>
        <v>46191</v>
      </c>
      <c r="F106" s="53">
        <v>5958718</v>
      </c>
      <c r="G106" s="8" t="s">
        <v>896</v>
      </c>
      <c r="H106" s="8">
        <v>20603005920</v>
      </c>
      <c r="I106" s="8" t="s">
        <v>894</v>
      </c>
      <c r="J106" s="8" t="s">
        <v>895</v>
      </c>
      <c r="K106" s="53" t="str">
        <f>IF(Data.[[#This Row],[Tipo de Venta]]&lt;&gt;"POS","Atendido",IF(Data.[[#This Row],[Fecha de Instalación]]&lt;&gt;"","Atendido","Ingresado"))</f>
        <v>Atendido</v>
      </c>
      <c r="L106" s="53" t="str">
        <f>Data.[[#This Row],[Estado]]</f>
        <v>Atendido</v>
      </c>
      <c r="M106" s="8" t="s">
        <v>33</v>
      </c>
      <c r="N106" s="53" t="str">
        <f>IFERROR(VLOOKUP(Data.[[#This Row],[Código LT]],Reportería.[],20,0),"")</f>
        <v/>
      </c>
      <c r="O106" s="53" t="str">
        <f>IFERROR(VLOOKUP(Data.[[#This Row],[Código LT]],Reportería.[],5,0),"")</f>
        <v/>
      </c>
      <c r="P106" s="11">
        <f>Data.[[#This Row],[GPV Mensual LT]]/COUNTIFS(H:H,Data.[[#This Row],[Ruc]],B:B,Data.[[#This Row],[Periodo]])</f>
        <v>23333.333333333332</v>
      </c>
      <c r="Q106" s="11">
        <v>70000</v>
      </c>
      <c r="R106" s="8" t="s">
        <v>203</v>
      </c>
      <c r="S106" s="53" t="str">
        <f>VLOOKUP(Data.[[#This Row],[Ejecutivo]],Productividad!D:N,11,0)</f>
        <v>77042102</v>
      </c>
      <c r="T106" s="54" t="str">
        <f>VLOOKUP(Data.[[#This Row],[DNI Ejecutivo]],Productividad!C:U,8,0)</f>
        <v>cesar.perez@lozapay.com.pe</v>
      </c>
      <c r="U106" s="53" t="str">
        <f>VLOOKUP(Data.[[#This Row],[DNI Ejecutivo]],Productividad!C:U,4,0)</f>
        <v>Hunter</v>
      </c>
      <c r="V106" s="53" t="str">
        <f>IFERROR(VLOOKUP(Data.[[#This Row],[DNI Ejecutivo]],Ejecutivos.[],11,0),"")</f>
        <v>Lima Hamm</v>
      </c>
      <c r="W106" s="8" t="s">
        <v>48</v>
      </c>
      <c r="X106" s="53" t="str" cm="1">
        <f t="array" ref="X106">IFERROR(_xlfn.IFS(Data.[[#This Row],[Supervisor]]="Jonathan Lapoint","Norte",Data.[[#This Row],[Supervisor]]="Jorge Fuentes","Norte"),"Lima")</f>
        <v>Lima</v>
      </c>
      <c r="Y106" s="53" t="str">
        <f>VLOOKUP(Data.[[#This Row],[Supervisor]],Ejecutivos!B:S,17,0)</f>
        <v>44818200</v>
      </c>
      <c r="Z106" s="54" t="str">
        <f>VLOOKUP(Data.[[#This Row],[DNI Supervisor]],Productividad!C:U,8,0)</f>
        <v>hramirezp@lozapay.com.pe</v>
      </c>
      <c r="AA106" s="8"/>
      <c r="AB106" s="8" t="s">
        <v>204</v>
      </c>
      <c r="AC106" s="53" t="str">
        <f>IFERROR(CONCATENATE(Data.[[#This Row],[DNI Ejecutivo]],Data.[[#This Row],[Periodo]]),"")</f>
        <v>7704210246174</v>
      </c>
      <c r="AD106" s="53" t="str">
        <f>IFERROR(VLOOKUP(Data.[[#This Row],[Código LT]],Reportería.[],10,0),"")</f>
        <v/>
      </c>
      <c r="AE106" s="53" t="str">
        <f>IFERROR(VLOOKUP(Data.[[#This Row],[Código LT]],Reportería.[],11,0),"")</f>
        <v/>
      </c>
      <c r="AF106" s="13">
        <f>IFERROR(VLOOKUP(Data.[[#This Row],[Código]],Reportería!A:BV,57,0),0)</f>
        <v>0</v>
      </c>
      <c r="AG106" s="13"/>
      <c r="AH106" s="13"/>
      <c r="AI106" s="11">
        <f>IF(TEXT(Data.[[#This Row],[Periodo]],"mmm-yy")="may-26",VLOOKUP(Data.[[#This Row],[Código]],Reportería!A:BV,57,0),0)</f>
        <v>0</v>
      </c>
      <c r="AJ106" s="11"/>
      <c r="AK106" s="11"/>
      <c r="AL106" s="11">
        <f>IF(Data.[[#This Row],[Vol M0]]="",0,0)</f>
        <v>0</v>
      </c>
      <c r="AM106" s="11">
        <f>IF(Data.[[#This Row],[Vol M0]]="",0,0)</f>
        <v>0</v>
      </c>
      <c r="AN106" s="11">
        <f>IF(Data.[[#This Row],[Vol M0]]="",0,0)</f>
        <v>0</v>
      </c>
      <c r="AO106" s="11">
        <f>IF(Data.[[#This Row],[Vol M0]]="",0,0)</f>
        <v>0</v>
      </c>
      <c r="AP106" s="11">
        <f>IF(Data.[[#This Row],[Vol M0]]="",0,0)</f>
        <v>0</v>
      </c>
      <c r="AQ106" s="11">
        <f>IF(Data.[[#This Row],[Vol M0]]="",0,0)</f>
        <v>0</v>
      </c>
      <c r="AR106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07" spans="1:44" ht="14.25" customHeight="1">
      <c r="A107" s="53" t="str">
        <f>CONCATENATE(Data.[[#This Row],[Código]],Data.[[#This Row],[Ruc]])</f>
        <v>595872420603005920</v>
      </c>
      <c r="B107" s="9">
        <v>46174</v>
      </c>
      <c r="C107" s="53" t="str">
        <f>IFERROR(VLOOKUP(Data.[[#This Row],[Código LT]],Reportería.[],71,0),"")</f>
        <v/>
      </c>
      <c r="D107" s="10">
        <f>IFERROR(VLOOKUP(Data.[[#This Row],[Código]],BV!A:C,2,0),"")</f>
        <v>46183</v>
      </c>
      <c r="E107" s="10">
        <f>IFERROR(VLOOKUP(Data.[[#This Row],[Código]],BV!A:C,3,0),"")</f>
        <v>46191</v>
      </c>
      <c r="F107" s="53">
        <v>5958724</v>
      </c>
      <c r="G107" s="8" t="s">
        <v>897</v>
      </c>
      <c r="H107" s="8">
        <v>20603005920</v>
      </c>
      <c r="I107" s="8" t="s">
        <v>894</v>
      </c>
      <c r="J107" s="8" t="s">
        <v>895</v>
      </c>
      <c r="K107" s="53" t="str">
        <f>IF(Data.[[#This Row],[Tipo de Venta]]&lt;&gt;"POS","Atendido",IF(Data.[[#This Row],[Fecha de Instalación]]&lt;&gt;"","Atendido","Ingresado"))</f>
        <v>Atendido</v>
      </c>
      <c r="L107" s="53" t="str">
        <f>Data.[[#This Row],[Estado]]</f>
        <v>Atendido</v>
      </c>
      <c r="M107" s="8" t="s">
        <v>33</v>
      </c>
      <c r="N107" s="53" t="str">
        <f>IFERROR(VLOOKUP(Data.[[#This Row],[Código LT]],Reportería.[],20,0),"")</f>
        <v/>
      </c>
      <c r="O107" s="53" t="str">
        <f>IFERROR(VLOOKUP(Data.[[#This Row],[Código LT]],Reportería.[],5,0),"")</f>
        <v/>
      </c>
      <c r="P107" s="11">
        <f>Data.[[#This Row],[GPV Mensual LT]]/COUNTIFS(H:H,Data.[[#This Row],[Ruc]],B:B,Data.[[#This Row],[Periodo]])</f>
        <v>23333.333333333332</v>
      </c>
      <c r="Q107" s="11">
        <v>70000</v>
      </c>
      <c r="R107" s="8" t="s">
        <v>203</v>
      </c>
      <c r="S107" s="53" t="str">
        <f>VLOOKUP(Data.[[#This Row],[Ejecutivo]],Productividad!D:N,11,0)</f>
        <v>77042102</v>
      </c>
      <c r="T107" s="54" t="str">
        <f>VLOOKUP(Data.[[#This Row],[DNI Ejecutivo]],Productividad!C:U,8,0)</f>
        <v>cesar.perez@lozapay.com.pe</v>
      </c>
      <c r="U107" s="53" t="str">
        <f>VLOOKUP(Data.[[#This Row],[DNI Ejecutivo]],Productividad!C:U,4,0)</f>
        <v>Hunter</v>
      </c>
      <c r="V107" s="53" t="str">
        <f>IFERROR(VLOOKUP(Data.[[#This Row],[DNI Ejecutivo]],Ejecutivos.[],11,0),"")</f>
        <v>Lima Hamm</v>
      </c>
      <c r="W107" s="8" t="s">
        <v>48</v>
      </c>
      <c r="X107" s="53" t="str" cm="1">
        <f t="array" ref="X107">IFERROR(_xlfn.IFS(Data.[[#This Row],[Supervisor]]="Jonathan Lapoint","Norte",Data.[[#This Row],[Supervisor]]="Jorge Fuentes","Norte"),"Lima")</f>
        <v>Lima</v>
      </c>
      <c r="Y107" s="53" t="str">
        <f>VLOOKUP(Data.[[#This Row],[Supervisor]],Ejecutivos!B:S,17,0)</f>
        <v>44818200</v>
      </c>
      <c r="Z107" s="54" t="str">
        <f>VLOOKUP(Data.[[#This Row],[DNI Supervisor]],Productividad!C:U,8,0)</f>
        <v>hramirezp@lozapay.com.pe</v>
      </c>
      <c r="AA107" s="8"/>
      <c r="AB107" s="8" t="s">
        <v>204</v>
      </c>
      <c r="AC107" s="53" t="str">
        <f>IFERROR(CONCATENATE(Data.[[#This Row],[DNI Ejecutivo]],Data.[[#This Row],[Periodo]]),"")</f>
        <v>7704210246174</v>
      </c>
      <c r="AD107" s="53" t="str">
        <f>IFERROR(VLOOKUP(Data.[[#This Row],[Código LT]],Reportería.[],10,0),"")</f>
        <v/>
      </c>
      <c r="AE107" s="53" t="str">
        <f>IFERROR(VLOOKUP(Data.[[#This Row],[Código LT]],Reportería.[],11,0),"")</f>
        <v/>
      </c>
      <c r="AF107" s="13">
        <f>IFERROR(VLOOKUP(Data.[[#This Row],[Código]],Reportería!A:BV,57,0),0)</f>
        <v>0</v>
      </c>
      <c r="AG107" s="13"/>
      <c r="AH107" s="13"/>
      <c r="AI107" s="11">
        <f>IF(TEXT(Data.[[#This Row],[Periodo]],"mmm-yy")="may-26",VLOOKUP(Data.[[#This Row],[Código]],Reportería!A:BV,57,0),0)</f>
        <v>0</v>
      </c>
      <c r="AJ107" s="11"/>
      <c r="AK107" s="11"/>
      <c r="AL107" s="11">
        <f>IF(Data.[[#This Row],[Vol M0]]="",0,0)</f>
        <v>0</v>
      </c>
      <c r="AM107" s="11">
        <f>IF(Data.[[#This Row],[Vol M0]]="",0,0)</f>
        <v>0</v>
      </c>
      <c r="AN107" s="11">
        <f>IF(Data.[[#This Row],[Vol M0]]="",0,0)</f>
        <v>0</v>
      </c>
      <c r="AO107" s="11">
        <f>IF(Data.[[#This Row],[Vol M0]]="",0,0)</f>
        <v>0</v>
      </c>
      <c r="AP107" s="11">
        <f>IF(Data.[[#This Row],[Vol M0]]="",0,0)</f>
        <v>0</v>
      </c>
      <c r="AQ107" s="11">
        <f>IF(Data.[[#This Row],[Vol M0]]="",0,0)</f>
        <v>0</v>
      </c>
      <c r="AR107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08" spans="1:44" ht="14.25" customHeight="1">
      <c r="A108" s="53" t="str">
        <f>CONCATENATE(Data.[[#This Row],[Código]],Data.[[#This Row],[Ruc]])</f>
        <v>595809710707664733</v>
      </c>
      <c r="B108" s="9">
        <v>46174</v>
      </c>
      <c r="C108" s="53" t="str">
        <f>IFERROR(VLOOKUP(Data.[[#This Row],[Código LT]],Reportería.[],71,0),"")</f>
        <v/>
      </c>
      <c r="D108" s="10">
        <f>IFERROR(VLOOKUP(Data.[[#This Row],[Código]],BV!A:C,2,0),"")</f>
        <v>46183</v>
      </c>
      <c r="E108" s="10">
        <f>IFERROR(VLOOKUP(Data.[[#This Row],[Código]],BV!A:C,3,0),"")</f>
        <v>46188</v>
      </c>
      <c r="F108" s="53">
        <v>5958097</v>
      </c>
      <c r="G108" s="8" t="s">
        <v>898</v>
      </c>
      <c r="H108" s="8">
        <v>10707664733</v>
      </c>
      <c r="I108" s="8" t="s">
        <v>899</v>
      </c>
      <c r="J108" s="8" t="s">
        <v>900</v>
      </c>
      <c r="K108" s="53" t="str">
        <f>IF(Data.[[#This Row],[Tipo de Venta]]&lt;&gt;"POS","Atendido",IF(Data.[[#This Row],[Fecha de Instalación]]&lt;&gt;"","Atendido","Ingresado"))</f>
        <v>Atendido</v>
      </c>
      <c r="L108" s="53" t="str">
        <f>Data.[[#This Row],[Estado]]</f>
        <v>Atendido</v>
      </c>
      <c r="M108" s="8" t="s">
        <v>33</v>
      </c>
      <c r="N108" s="53" t="str">
        <f>IFERROR(VLOOKUP(Data.[[#This Row],[Código LT]],Reportería.[],20,0),"")</f>
        <v/>
      </c>
      <c r="O108" s="53" t="str">
        <f>IFERROR(VLOOKUP(Data.[[#This Row],[Código LT]],Reportería.[],5,0),"")</f>
        <v/>
      </c>
      <c r="P108" s="11">
        <f>Data.[[#This Row],[GPV Mensual LT]]/COUNTIFS(H:H,Data.[[#This Row],[Ruc]],B:B,Data.[[#This Row],[Periodo]])</f>
        <v>14000</v>
      </c>
      <c r="Q108" s="11">
        <v>28000</v>
      </c>
      <c r="R108" s="8" t="s">
        <v>41</v>
      </c>
      <c r="S108" s="53" t="str">
        <f>VLOOKUP(Data.[[#This Row],[Ejecutivo]],Productividad!D:N,11,0)</f>
        <v>002409208</v>
      </c>
      <c r="T108" s="54" t="str">
        <f>VLOOKUP(Data.[[#This Row],[DNI Ejecutivo]],Productividad!C:U,8,0)</f>
        <v>jose.mujica@lozapay.com.pe</v>
      </c>
      <c r="U108" s="53" t="str">
        <f>VLOOKUP(Data.[[#This Row],[DNI Ejecutivo]],Productividad!C:U,4,0)</f>
        <v>Senior</v>
      </c>
      <c r="V108" s="53" t="str">
        <f>IFERROR(VLOOKUP(Data.[[#This Row],[DNI Ejecutivo]],Ejecutivos.[],11,0),"")</f>
        <v>Norte Fuentes</v>
      </c>
      <c r="W108" s="8" t="s">
        <v>42</v>
      </c>
      <c r="X108" s="53" t="str" cm="1">
        <f t="array" ref="X108">IFERROR(_xlfn.IFS(Data.[[#This Row],[Supervisor]]="Jonathan Lapoint","Norte",Data.[[#This Row],[Supervisor]]="Jorge Fuentes","Norte"),"Lima")</f>
        <v>Norte</v>
      </c>
      <c r="Y108" s="53" t="str">
        <f>VLOOKUP(Data.[[#This Row],[Supervisor]],Ejecutivos!B:S,17,0)</f>
        <v>70059865</v>
      </c>
      <c r="Z108" s="54" t="str">
        <f>VLOOKUP(Data.[[#This Row],[DNI Supervisor]],Productividad!C:U,8,0)</f>
        <v>jfuentes@lozapay.com.pe</v>
      </c>
      <c r="AA108" s="8"/>
      <c r="AB108" s="8" t="s">
        <v>916</v>
      </c>
      <c r="AC108" s="53" t="str">
        <f>IFERROR(CONCATENATE(Data.[[#This Row],[DNI Ejecutivo]],Data.[[#This Row],[Periodo]]),"")</f>
        <v>00240920846174</v>
      </c>
      <c r="AD108" s="53" t="str">
        <f>IFERROR(VLOOKUP(Data.[[#This Row],[Código LT]],Reportería.[],10,0),"")</f>
        <v/>
      </c>
      <c r="AE108" s="53" t="str">
        <f>IFERROR(VLOOKUP(Data.[[#This Row],[Código LT]],Reportería.[],11,0),"")</f>
        <v/>
      </c>
      <c r="AF108" s="13">
        <f>IFERROR(VLOOKUP(Data.[[#This Row],[Código]],Reportería!A:BV,57,0),0)</f>
        <v>2484</v>
      </c>
      <c r="AG108" s="13"/>
      <c r="AH108" s="13"/>
      <c r="AI108" s="11">
        <f>IF(TEXT(Data.[[#This Row],[Periodo]],"mmm-yy")="may-26",VLOOKUP(Data.[[#This Row],[Código]],Reportería!A:BV,57,0),0)</f>
        <v>0</v>
      </c>
      <c r="AJ108" s="11"/>
      <c r="AK108" s="11"/>
      <c r="AL108" s="11">
        <f>IF(Data.[[#This Row],[Vol M0]]="",0,0)</f>
        <v>0</v>
      </c>
      <c r="AM108" s="11">
        <f>IF(Data.[[#This Row],[Vol M0]]="",0,0)</f>
        <v>0</v>
      </c>
      <c r="AN108" s="11">
        <f>IF(Data.[[#This Row],[Vol M0]]="",0,0)</f>
        <v>0</v>
      </c>
      <c r="AO108" s="11">
        <f>IF(Data.[[#This Row],[Vol M0]]="",0,0)</f>
        <v>0</v>
      </c>
      <c r="AP108" s="11">
        <f>IF(Data.[[#This Row],[Vol M0]]="",0,0)</f>
        <v>0</v>
      </c>
      <c r="AQ108" s="11">
        <f>IF(Data.[[#This Row],[Vol M0]]="",0,0)</f>
        <v>0</v>
      </c>
      <c r="AR108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09" spans="1:44" ht="14.25" customHeight="1">
      <c r="A109" s="53" t="str">
        <f>CONCATENATE(Data.[[#This Row],[Código]],Data.[[#This Row],[Ruc]])</f>
        <v>595808910707664733</v>
      </c>
      <c r="B109" s="9">
        <v>46174</v>
      </c>
      <c r="C109" s="53" t="str">
        <f>IFERROR(VLOOKUP(Data.[[#This Row],[Código LT]],Reportería.[],71,0),"")</f>
        <v/>
      </c>
      <c r="D109" s="10">
        <f>IFERROR(VLOOKUP(Data.[[#This Row],[Código]],BV!A:C,2,0),"")</f>
        <v>46183</v>
      </c>
      <c r="E109" s="10">
        <f>IFERROR(VLOOKUP(Data.[[#This Row],[Código]],BV!A:C,3,0),"")</f>
        <v>46188</v>
      </c>
      <c r="F109" s="53">
        <v>5958089</v>
      </c>
      <c r="G109" s="8" t="s">
        <v>901</v>
      </c>
      <c r="H109" s="8">
        <v>10707664733</v>
      </c>
      <c r="I109" s="8" t="s">
        <v>899</v>
      </c>
      <c r="J109" s="8" t="s">
        <v>900</v>
      </c>
      <c r="K109" s="53" t="str">
        <f>IF(Data.[[#This Row],[Tipo de Venta]]&lt;&gt;"POS","Atendido",IF(Data.[[#This Row],[Fecha de Instalación]]&lt;&gt;"","Atendido","Ingresado"))</f>
        <v>Atendido</v>
      </c>
      <c r="L109" s="53" t="str">
        <f>Data.[[#This Row],[Estado]]</f>
        <v>Atendido</v>
      </c>
      <c r="M109" s="8" t="s">
        <v>33</v>
      </c>
      <c r="N109" s="53" t="str">
        <f>IFERROR(VLOOKUP(Data.[[#This Row],[Código LT]],Reportería.[],20,0),"")</f>
        <v/>
      </c>
      <c r="O109" s="53" t="str">
        <f>IFERROR(VLOOKUP(Data.[[#This Row],[Código LT]],Reportería.[],5,0),"")</f>
        <v/>
      </c>
      <c r="P109" s="11">
        <f>Data.[[#This Row],[GPV Mensual LT]]/COUNTIFS(H:H,Data.[[#This Row],[Ruc]],B:B,Data.[[#This Row],[Periodo]])</f>
        <v>14000</v>
      </c>
      <c r="Q109" s="11">
        <v>28000</v>
      </c>
      <c r="R109" s="8" t="s">
        <v>41</v>
      </c>
      <c r="S109" s="53" t="str">
        <f>VLOOKUP(Data.[[#This Row],[Ejecutivo]],Productividad!D:N,11,0)</f>
        <v>002409208</v>
      </c>
      <c r="T109" s="54" t="str">
        <f>VLOOKUP(Data.[[#This Row],[DNI Ejecutivo]],Productividad!C:U,8,0)</f>
        <v>jose.mujica@lozapay.com.pe</v>
      </c>
      <c r="U109" s="53" t="str">
        <f>VLOOKUP(Data.[[#This Row],[DNI Ejecutivo]],Productividad!C:U,4,0)</f>
        <v>Senior</v>
      </c>
      <c r="V109" s="53" t="str">
        <f>IFERROR(VLOOKUP(Data.[[#This Row],[DNI Ejecutivo]],Ejecutivos.[],11,0),"")</f>
        <v>Norte Fuentes</v>
      </c>
      <c r="W109" s="8" t="s">
        <v>42</v>
      </c>
      <c r="X109" s="53" t="str" cm="1">
        <f t="array" ref="X109">IFERROR(_xlfn.IFS(Data.[[#This Row],[Supervisor]]="Jonathan Lapoint","Norte",Data.[[#This Row],[Supervisor]]="Jorge Fuentes","Norte"),"Lima")</f>
        <v>Norte</v>
      </c>
      <c r="Y109" s="53" t="str">
        <f>VLOOKUP(Data.[[#This Row],[Supervisor]],Ejecutivos!B:S,17,0)</f>
        <v>70059865</v>
      </c>
      <c r="Z109" s="54" t="str">
        <f>VLOOKUP(Data.[[#This Row],[DNI Supervisor]],Productividad!C:U,8,0)</f>
        <v>jfuentes@lozapay.com.pe</v>
      </c>
      <c r="AA109" s="8"/>
      <c r="AB109" s="8" t="s">
        <v>916</v>
      </c>
      <c r="AC109" s="53" t="str">
        <f>IFERROR(CONCATENATE(Data.[[#This Row],[DNI Ejecutivo]],Data.[[#This Row],[Periodo]]),"")</f>
        <v>00240920846174</v>
      </c>
      <c r="AD109" s="53" t="str">
        <f>IFERROR(VLOOKUP(Data.[[#This Row],[Código LT]],Reportería.[],10,0),"")</f>
        <v/>
      </c>
      <c r="AE109" s="53" t="str">
        <f>IFERROR(VLOOKUP(Data.[[#This Row],[Código LT]],Reportería.[],11,0),"")</f>
        <v/>
      </c>
      <c r="AF109" s="13">
        <f>IFERROR(VLOOKUP(Data.[[#This Row],[Código]],Reportería!A:BV,57,0),0)</f>
        <v>2325</v>
      </c>
      <c r="AG109" s="13"/>
      <c r="AH109" s="13"/>
      <c r="AI109" s="11">
        <f>IF(TEXT(Data.[[#This Row],[Periodo]],"mmm-yy")="may-26",VLOOKUP(Data.[[#This Row],[Código]],Reportería!A:BV,57,0),0)</f>
        <v>0</v>
      </c>
      <c r="AJ109" s="11"/>
      <c r="AK109" s="11"/>
      <c r="AL109" s="11">
        <f>IF(Data.[[#This Row],[Vol M0]]="",0,0)</f>
        <v>0</v>
      </c>
      <c r="AM109" s="11">
        <f>IF(Data.[[#This Row],[Vol M0]]="",0,0)</f>
        <v>0</v>
      </c>
      <c r="AN109" s="11">
        <f>IF(Data.[[#This Row],[Vol M0]]="",0,0)</f>
        <v>0</v>
      </c>
      <c r="AO109" s="11">
        <f>IF(Data.[[#This Row],[Vol M0]]="",0,0)</f>
        <v>0</v>
      </c>
      <c r="AP109" s="11">
        <f>IF(Data.[[#This Row],[Vol M0]]="",0,0)</f>
        <v>0</v>
      </c>
      <c r="AQ109" s="11">
        <f>IF(Data.[[#This Row],[Vol M0]]="",0,0)</f>
        <v>0</v>
      </c>
      <c r="AR109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10" spans="1:44" ht="14.25" customHeight="1">
      <c r="A110" s="53" t="str">
        <f>CONCATENATE(Data.[[#This Row],[Código]],Data.[[#This Row],[Ruc]])</f>
        <v>595868620612931951</v>
      </c>
      <c r="B110" s="9">
        <v>46174</v>
      </c>
      <c r="C110" s="53" t="str">
        <f>IFERROR(VLOOKUP(Data.[[#This Row],[Código LT]],Reportería.[],71,0),"")</f>
        <v/>
      </c>
      <c r="D110" s="10">
        <f>IFERROR(VLOOKUP(Data.[[#This Row],[Código]],BV!A:C,2,0),"")</f>
        <v>46184</v>
      </c>
      <c r="E110" s="10">
        <f>IFERROR(VLOOKUP(Data.[[#This Row],[Código]],BV!A:C,3,0),"")</f>
        <v>46184</v>
      </c>
      <c r="F110" s="53">
        <v>5958686</v>
      </c>
      <c r="G110" s="8" t="s">
        <v>902</v>
      </c>
      <c r="H110" s="8">
        <v>20612931951</v>
      </c>
      <c r="I110" s="8" t="s">
        <v>903</v>
      </c>
      <c r="J110" s="8" t="s">
        <v>904</v>
      </c>
      <c r="K110" s="53" t="str">
        <f>IF(Data.[[#This Row],[Tipo de Venta]]&lt;&gt;"POS","Atendido",IF(Data.[[#This Row],[Fecha de Instalación]]&lt;&gt;"","Atendido","Ingresado"))</f>
        <v>Atendido</v>
      </c>
      <c r="L110" s="53" t="str">
        <f>Data.[[#This Row],[Estado]]</f>
        <v>Atendido</v>
      </c>
      <c r="M110" s="8" t="s">
        <v>33</v>
      </c>
      <c r="N110" s="53" t="str">
        <f>IFERROR(VLOOKUP(Data.[[#This Row],[Código LT]],Reportería.[],20,0),"")</f>
        <v/>
      </c>
      <c r="O110" s="53" t="str">
        <f>IFERROR(VLOOKUP(Data.[[#This Row],[Código LT]],Reportería.[],5,0),"")</f>
        <v/>
      </c>
      <c r="P110" s="11">
        <f>Data.[[#This Row],[GPV Mensual LT]]/COUNTIFS(H:H,Data.[[#This Row],[Ruc]],B:B,Data.[[#This Row],[Periodo]])</f>
        <v>50000</v>
      </c>
      <c r="Q110" s="11">
        <v>50000</v>
      </c>
      <c r="R110" s="8" t="s">
        <v>47</v>
      </c>
      <c r="S110" s="53" t="str">
        <f>VLOOKUP(Data.[[#This Row],[Ejecutivo]],Productividad!D:N,11,0)</f>
        <v>44881019</v>
      </c>
      <c r="T110" s="54" t="str">
        <f>VLOOKUP(Data.[[#This Row],[DNI Ejecutivo]],Productividad!C:U,8,0)</f>
        <v>jackeline.matos@lozapay.com.pe</v>
      </c>
      <c r="U110" s="53" t="str">
        <f>VLOOKUP(Data.[[#This Row],[DNI Ejecutivo]],Productividad!C:U,4,0)</f>
        <v>Senior</v>
      </c>
      <c r="V110" s="53" t="str">
        <f>IFERROR(VLOOKUP(Data.[[#This Row],[DNI Ejecutivo]],Ejecutivos.[],11,0),"")</f>
        <v>Lima Hamm</v>
      </c>
      <c r="W110" s="8" t="s">
        <v>48</v>
      </c>
      <c r="X110" s="53" t="str" cm="1">
        <f t="array" ref="X110">IFERROR(_xlfn.IFS(Data.[[#This Row],[Supervisor]]="Jonathan Lapoint","Norte",Data.[[#This Row],[Supervisor]]="Jorge Fuentes","Norte"),"Lima")</f>
        <v>Lima</v>
      </c>
      <c r="Y110" s="53" t="str">
        <f>VLOOKUP(Data.[[#This Row],[Supervisor]],Ejecutivos!B:S,17,0)</f>
        <v>44818200</v>
      </c>
      <c r="Z110" s="54" t="str">
        <f>VLOOKUP(Data.[[#This Row],[DNI Supervisor]],Productividad!C:U,8,0)</f>
        <v>hramirezp@lozapay.com.pe</v>
      </c>
      <c r="AA110" s="8"/>
      <c r="AB110" s="8" t="s">
        <v>49</v>
      </c>
      <c r="AC110" s="53" t="str">
        <f>IFERROR(CONCATENATE(Data.[[#This Row],[DNI Ejecutivo]],Data.[[#This Row],[Periodo]]),"")</f>
        <v>4488101946174</v>
      </c>
      <c r="AD110" s="53" t="str">
        <f>IFERROR(VLOOKUP(Data.[[#This Row],[Código LT]],Reportería.[],10,0),"")</f>
        <v/>
      </c>
      <c r="AE110" s="53" t="str">
        <f>IFERROR(VLOOKUP(Data.[[#This Row],[Código LT]],Reportería.[],11,0),"")</f>
        <v/>
      </c>
      <c r="AF110" s="13">
        <f>IFERROR(VLOOKUP(Data.[[#This Row],[Código]],Reportería!A:BV,57,0),0)</f>
        <v>9236.65</v>
      </c>
      <c r="AG110" s="13"/>
      <c r="AH110" s="13"/>
      <c r="AI110" s="11">
        <f>IF(TEXT(Data.[[#This Row],[Periodo]],"mmm-yy")="may-26",VLOOKUP(Data.[[#This Row],[Código]],Reportería!A:BV,57,0),0)</f>
        <v>0</v>
      </c>
      <c r="AJ110" s="11"/>
      <c r="AK110" s="11"/>
      <c r="AL110" s="11">
        <f>IF(Data.[[#This Row],[Vol M0]]="",0,0)</f>
        <v>0</v>
      </c>
      <c r="AM110" s="11">
        <f>IF(Data.[[#This Row],[Vol M0]]="",0,0)</f>
        <v>0</v>
      </c>
      <c r="AN110" s="11">
        <f>IF(Data.[[#This Row],[Vol M0]]="",0,0)</f>
        <v>0</v>
      </c>
      <c r="AO110" s="11">
        <f>IF(Data.[[#This Row],[Vol M0]]="",0,0)</f>
        <v>0</v>
      </c>
      <c r="AP110" s="11">
        <f>IF(Data.[[#This Row],[Vol M0]]="",0,0)</f>
        <v>0</v>
      </c>
      <c r="AQ110" s="11">
        <f>IF(Data.[[#This Row],[Vol M0]]="",0,0)</f>
        <v>0</v>
      </c>
      <c r="AR110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11" spans="1:44" ht="14.25" customHeight="1">
      <c r="A111" s="53" t="str">
        <f>CONCATENATE(Data.[[#This Row],[Código]],Data.[[#This Row],[Ruc]])</f>
        <v>595884720613042351</v>
      </c>
      <c r="B111" s="9">
        <v>46174</v>
      </c>
      <c r="C111" s="53" t="str">
        <f>IFERROR(VLOOKUP(Data.[[#This Row],[Código LT]],Reportería.[],71,0),"")</f>
        <v/>
      </c>
      <c r="D111" s="10">
        <f>IFERROR(VLOOKUP(Data.[[#This Row],[Código]],BV!A:C,2,0),"")</f>
        <v>46184</v>
      </c>
      <c r="E111" s="10">
        <f>IFERROR(VLOOKUP(Data.[[#This Row],[Código]],BV!A:C,3,0),"")</f>
        <v>46188</v>
      </c>
      <c r="F111" s="53">
        <v>5958847</v>
      </c>
      <c r="G111" s="8" t="s">
        <v>905</v>
      </c>
      <c r="H111" s="8">
        <v>20613042351</v>
      </c>
      <c r="I111" s="8" t="s">
        <v>906</v>
      </c>
      <c r="J111" s="8" t="s">
        <v>907</v>
      </c>
      <c r="K111" s="53" t="str">
        <f>IF(Data.[[#This Row],[Tipo de Venta]]&lt;&gt;"POS","Atendido",IF(Data.[[#This Row],[Fecha de Instalación]]&lt;&gt;"","Atendido","Ingresado"))</f>
        <v>Atendido</v>
      </c>
      <c r="L111" s="53" t="str">
        <f>Data.[[#This Row],[Estado]]</f>
        <v>Atendido</v>
      </c>
      <c r="M111" s="8" t="s">
        <v>33</v>
      </c>
      <c r="N111" s="53" t="str">
        <f>IFERROR(VLOOKUP(Data.[[#This Row],[Código LT]],Reportería.[],20,0),"")</f>
        <v/>
      </c>
      <c r="O111" s="53" t="str">
        <f>IFERROR(VLOOKUP(Data.[[#This Row],[Código LT]],Reportería.[],5,0),"")</f>
        <v/>
      </c>
      <c r="P111" s="11">
        <f>Data.[[#This Row],[GPV Mensual LT]]/COUNTIFS(H:H,Data.[[#This Row],[Ruc]],B:B,Data.[[#This Row],[Periodo]])</f>
        <v>100000</v>
      </c>
      <c r="Q111" s="11">
        <v>100000</v>
      </c>
      <c r="R111" s="8" t="s">
        <v>34</v>
      </c>
      <c r="S111" s="53" t="str">
        <f>VLOOKUP(Data.[[#This Row],[Ejecutivo]],Productividad!D:N,11,0)</f>
        <v>43661391</v>
      </c>
      <c r="T111" s="54" t="str">
        <f>VLOOKUP(Data.[[#This Row],[DNI Ejecutivo]],Productividad!C:U,8,0)</f>
        <v>mrochar@lozapay.com.pe</v>
      </c>
      <c r="U111" s="53" t="str">
        <f>VLOOKUP(Data.[[#This Row],[DNI Ejecutivo]],Productividad!C:U,4,0)</f>
        <v>Elite</v>
      </c>
      <c r="V111" s="53" t="str">
        <f>IFERROR(VLOOKUP(Data.[[#This Row],[DNI Ejecutivo]],Ejecutivos.[],11,0),"")</f>
        <v>Lima Palomino</v>
      </c>
      <c r="W111" s="8" t="s">
        <v>35</v>
      </c>
      <c r="X111" s="53" t="str" cm="1">
        <f t="array" ref="X111">IFERROR(_xlfn.IFS(Data.[[#This Row],[Supervisor]]="Jonathan Lapoint","Norte",Data.[[#This Row],[Supervisor]]="Jorge Fuentes","Norte"),"Lima")</f>
        <v>Lima</v>
      </c>
      <c r="Y111" s="53" t="str">
        <f>VLOOKUP(Data.[[#This Row],[Supervisor]],Ejecutivos!B:S,17,0)</f>
        <v>41718975</v>
      </c>
      <c r="Z111" s="54" t="str">
        <f>VLOOKUP(Data.[[#This Row],[DNI Supervisor]],Productividad!C:U,8,0)</f>
        <v>carlos.palomino@lozapay.com.pe</v>
      </c>
      <c r="AA111" s="8"/>
      <c r="AB111" s="8" t="s">
        <v>36</v>
      </c>
      <c r="AC111" s="53" t="str">
        <f>IFERROR(CONCATENATE(Data.[[#This Row],[DNI Ejecutivo]],Data.[[#This Row],[Periodo]]),"")</f>
        <v>4366139146174</v>
      </c>
      <c r="AD111" s="53" t="str">
        <f>IFERROR(VLOOKUP(Data.[[#This Row],[Código LT]],Reportería.[],10,0),"")</f>
        <v/>
      </c>
      <c r="AE111" s="53" t="str">
        <f>IFERROR(VLOOKUP(Data.[[#This Row],[Código LT]],Reportería.[],11,0),"")</f>
        <v/>
      </c>
      <c r="AF111" s="13">
        <f>IFERROR(VLOOKUP(Data.[[#This Row],[Código]],Reportería!A:BV,57,0),0)</f>
        <v>0</v>
      </c>
      <c r="AG111" s="13"/>
      <c r="AH111" s="13"/>
      <c r="AI111" s="11">
        <f>IF(TEXT(Data.[[#This Row],[Periodo]],"mmm-yy")="may-26",VLOOKUP(Data.[[#This Row],[Código]],Reportería!A:BV,57,0),0)</f>
        <v>0</v>
      </c>
      <c r="AJ111" s="11"/>
      <c r="AK111" s="11"/>
      <c r="AL111" s="11">
        <f>IF(Data.[[#This Row],[Vol M0]]="",0,0)</f>
        <v>0</v>
      </c>
      <c r="AM111" s="11">
        <f>IF(Data.[[#This Row],[Vol M0]]="",0,0)</f>
        <v>0</v>
      </c>
      <c r="AN111" s="11">
        <f>IF(Data.[[#This Row],[Vol M0]]="",0,0)</f>
        <v>0</v>
      </c>
      <c r="AO111" s="11">
        <f>IF(Data.[[#This Row],[Vol M0]]="",0,0)</f>
        <v>0</v>
      </c>
      <c r="AP111" s="11">
        <f>IF(Data.[[#This Row],[Vol M0]]="",0,0)</f>
        <v>0</v>
      </c>
      <c r="AQ111" s="11">
        <f>IF(Data.[[#This Row],[Vol M0]]="",0,0)</f>
        <v>0</v>
      </c>
      <c r="AR111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12" spans="1:44" ht="14.25" customHeight="1">
      <c r="A112" s="53" t="str">
        <f>CONCATENATE(Data.[[#This Row],[Código]],Data.[[#This Row],[Ruc]])</f>
        <v>595869220609843277</v>
      </c>
      <c r="B112" s="9">
        <v>46174</v>
      </c>
      <c r="C112" s="53" t="str">
        <f>IFERROR(VLOOKUP(Data.[[#This Row],[Código LT]],Reportería.[],71,0),"")</f>
        <v/>
      </c>
      <c r="D112" s="10">
        <f>IFERROR(VLOOKUP(Data.[[#This Row],[Código]],BV!A:C,2,0),"")</f>
        <v>46184</v>
      </c>
      <c r="E112" s="10">
        <f>IFERROR(VLOOKUP(Data.[[#This Row],[Código]],BV!A:C,3,0),"")</f>
        <v>46192</v>
      </c>
      <c r="F112" s="53">
        <v>5958692</v>
      </c>
      <c r="G112" s="8" t="s">
        <v>908</v>
      </c>
      <c r="H112" s="8">
        <v>20609843277</v>
      </c>
      <c r="I112" s="8" t="s">
        <v>909</v>
      </c>
      <c r="J112" s="8" t="s">
        <v>910</v>
      </c>
      <c r="K112" s="53" t="str">
        <f>IF(Data.[[#This Row],[Tipo de Venta]]&lt;&gt;"POS","Atendido",IF(Data.[[#This Row],[Fecha de Instalación]]&lt;&gt;"","Atendido","Ingresado"))</f>
        <v>Atendido</v>
      </c>
      <c r="L112" s="53" t="str">
        <f>Data.[[#This Row],[Estado]]</f>
        <v>Atendido</v>
      </c>
      <c r="M112" s="8" t="s">
        <v>33</v>
      </c>
      <c r="N112" s="53" t="str">
        <f>IFERROR(VLOOKUP(Data.[[#This Row],[Código LT]],Reportería.[],20,0),"")</f>
        <v/>
      </c>
      <c r="O112" s="53" t="str">
        <f>IFERROR(VLOOKUP(Data.[[#This Row],[Código LT]],Reportería.[],5,0),"")</f>
        <v/>
      </c>
      <c r="P112" s="11">
        <f>Data.[[#This Row],[GPV Mensual LT]]/COUNTIFS(H:H,Data.[[#This Row],[Ruc]],B:B,Data.[[#This Row],[Periodo]])</f>
        <v>26000</v>
      </c>
      <c r="Q112" s="11">
        <v>26000</v>
      </c>
      <c r="R112" s="8" t="s">
        <v>203</v>
      </c>
      <c r="S112" s="53" t="str">
        <f>VLOOKUP(Data.[[#This Row],[Ejecutivo]],Productividad!D:N,11,0)</f>
        <v>77042102</v>
      </c>
      <c r="T112" s="54" t="str">
        <f>VLOOKUP(Data.[[#This Row],[DNI Ejecutivo]],Productividad!C:U,8,0)</f>
        <v>cesar.perez@lozapay.com.pe</v>
      </c>
      <c r="U112" s="53" t="str">
        <f>VLOOKUP(Data.[[#This Row],[DNI Ejecutivo]],Productividad!C:U,4,0)</f>
        <v>Hunter</v>
      </c>
      <c r="V112" s="53" t="str">
        <f>IFERROR(VLOOKUP(Data.[[#This Row],[DNI Ejecutivo]],Ejecutivos.[],11,0),"")</f>
        <v>Lima Hamm</v>
      </c>
      <c r="W112" s="8" t="s">
        <v>48</v>
      </c>
      <c r="X112" s="53" t="str" cm="1">
        <f t="array" ref="X112">IFERROR(_xlfn.IFS(Data.[[#This Row],[Supervisor]]="Jonathan Lapoint","Norte",Data.[[#This Row],[Supervisor]]="Jorge Fuentes","Norte"),"Lima")</f>
        <v>Lima</v>
      </c>
      <c r="Y112" s="53" t="str">
        <f>VLOOKUP(Data.[[#This Row],[Supervisor]],Ejecutivos!B:S,17,0)</f>
        <v>44818200</v>
      </c>
      <c r="Z112" s="54" t="str">
        <f>VLOOKUP(Data.[[#This Row],[DNI Supervisor]],Productividad!C:U,8,0)</f>
        <v>hramirezp@lozapay.com.pe</v>
      </c>
      <c r="AA112" s="8"/>
      <c r="AB112" s="8" t="s">
        <v>204</v>
      </c>
      <c r="AC112" s="53" t="str">
        <f>IFERROR(CONCATENATE(Data.[[#This Row],[DNI Ejecutivo]],Data.[[#This Row],[Periodo]]),"")</f>
        <v>7704210246174</v>
      </c>
      <c r="AD112" s="53" t="str">
        <f>IFERROR(VLOOKUP(Data.[[#This Row],[Código LT]],Reportería.[],10,0),"")</f>
        <v/>
      </c>
      <c r="AE112" s="53" t="str">
        <f>IFERROR(VLOOKUP(Data.[[#This Row],[Código LT]],Reportería.[],11,0),"")</f>
        <v/>
      </c>
      <c r="AF112" s="13">
        <f>IFERROR(VLOOKUP(Data.[[#This Row],[Código]],Reportería!A:BV,57,0),0)</f>
        <v>0</v>
      </c>
      <c r="AG112" s="13"/>
      <c r="AH112" s="13"/>
      <c r="AI112" s="11">
        <f>IF(TEXT(Data.[[#This Row],[Periodo]],"mmm-yy")="may-26",VLOOKUP(Data.[[#This Row],[Código]],Reportería!A:BV,57,0),0)</f>
        <v>0</v>
      </c>
      <c r="AJ112" s="11"/>
      <c r="AK112" s="11"/>
      <c r="AL112" s="11">
        <f>IF(Data.[[#This Row],[Vol M0]]="",0,0)</f>
        <v>0</v>
      </c>
      <c r="AM112" s="11">
        <f>IF(Data.[[#This Row],[Vol M0]]="",0,0)</f>
        <v>0</v>
      </c>
      <c r="AN112" s="11">
        <f>IF(Data.[[#This Row],[Vol M0]]="",0,0)</f>
        <v>0</v>
      </c>
      <c r="AO112" s="11">
        <f>IF(Data.[[#This Row],[Vol M0]]="",0,0)</f>
        <v>0</v>
      </c>
      <c r="AP112" s="11">
        <f>IF(Data.[[#This Row],[Vol M0]]="",0,0)</f>
        <v>0</v>
      </c>
      <c r="AQ112" s="11">
        <f>IF(Data.[[#This Row],[Vol M0]]="",0,0)</f>
        <v>0</v>
      </c>
      <c r="AR112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13" spans="1:44" ht="14.25" customHeight="1">
      <c r="A113" s="53" t="str">
        <f>CONCATENATE(Data.[[#This Row],[Código]],Data.[[#This Row],[Ruc]])</f>
        <v>595920120569332801</v>
      </c>
      <c r="B113" s="9">
        <v>46174</v>
      </c>
      <c r="C113" s="53" t="str">
        <f>IFERROR(VLOOKUP(Data.[[#This Row],[Código LT]],Reportería.[],71,0),"")</f>
        <v/>
      </c>
      <c r="D113" s="10">
        <f>IFERROR(VLOOKUP(Data.[[#This Row],[Código]],BV!A:C,2,0),"")</f>
        <v>46185</v>
      </c>
      <c r="E113" s="10">
        <f>IFERROR(VLOOKUP(Data.[[#This Row],[Código]],BV!A:C,3,0),"")</f>
        <v>0</v>
      </c>
      <c r="F113" s="53">
        <v>5959201</v>
      </c>
      <c r="G113" s="8" t="s">
        <v>911</v>
      </c>
      <c r="H113" s="8">
        <v>20569332801</v>
      </c>
      <c r="I113" s="8" t="s">
        <v>912</v>
      </c>
      <c r="J113" s="8" t="s">
        <v>913</v>
      </c>
      <c r="K113" s="53" t="str">
        <f>IF(Data.[[#This Row],[Tipo de Venta]]&lt;&gt;"POS","Atendido",IF(Data.[[#This Row],[Fecha de Instalación]]&lt;&gt;"","Atendido","Ingresado"))</f>
        <v>Atendido</v>
      </c>
      <c r="L113" s="53" t="str">
        <f>Data.[[#This Row],[Estado]]</f>
        <v>Atendido</v>
      </c>
      <c r="M113" s="8" t="s">
        <v>33</v>
      </c>
      <c r="N113" s="53" t="str">
        <f>IFERROR(VLOOKUP(Data.[[#This Row],[Código LT]],Reportería.[],20,0),"")</f>
        <v/>
      </c>
      <c r="O113" s="53" t="str">
        <f>IFERROR(VLOOKUP(Data.[[#This Row],[Código LT]],Reportería.[],5,0),"")</f>
        <v/>
      </c>
      <c r="P113" s="11">
        <f>Data.[[#This Row],[GPV Mensual LT]]/COUNTIFS(H:H,Data.[[#This Row],[Ruc]],B:B,Data.[[#This Row],[Periodo]])</f>
        <v>100000</v>
      </c>
      <c r="Q113" s="11">
        <v>100000</v>
      </c>
      <c r="R113" s="8" t="s">
        <v>159</v>
      </c>
      <c r="S113" s="53" t="str">
        <f>VLOOKUP(Data.[[#This Row],[Ejecutivo]],Productividad!D:N,11,0)</f>
        <v>76524006</v>
      </c>
      <c r="T113" s="54" t="str">
        <f>VLOOKUP(Data.[[#This Row],[DNI Ejecutivo]],Productividad!C:U,8,0)</f>
        <v>jjaimesb@lozapay.com.pe</v>
      </c>
      <c r="U113" s="53" t="str">
        <f>VLOOKUP(Data.[[#This Row],[DNI Ejecutivo]],Productividad!C:U,4,0)</f>
        <v>Senior</v>
      </c>
      <c r="V113" s="53" t="str">
        <f>IFERROR(VLOOKUP(Data.[[#This Row],[DNI Ejecutivo]],Ejecutivos.[],11,0),"")</f>
        <v>Lima Palomino</v>
      </c>
      <c r="W113" s="8" t="s">
        <v>35</v>
      </c>
      <c r="X113" s="53" t="str" cm="1">
        <f t="array" ref="X113">IFERROR(_xlfn.IFS(Data.[[#This Row],[Supervisor]]="Jonathan Lapoint","Norte",Data.[[#This Row],[Supervisor]]="Jorge Fuentes","Norte"),"Lima")</f>
        <v>Lima</v>
      </c>
      <c r="Y113" s="53" t="str">
        <f>VLOOKUP(Data.[[#This Row],[Supervisor]],Ejecutivos!B:S,17,0)</f>
        <v>41718975</v>
      </c>
      <c r="Z113" s="54" t="str">
        <f>VLOOKUP(Data.[[#This Row],[DNI Supervisor]],Productividad!C:U,8,0)</f>
        <v>carlos.palomino@lozapay.com.pe</v>
      </c>
      <c r="AA113" s="8"/>
      <c r="AB113" s="8" t="s">
        <v>160</v>
      </c>
      <c r="AC113" s="53" t="str">
        <f>IFERROR(CONCATENATE(Data.[[#This Row],[DNI Ejecutivo]],Data.[[#This Row],[Periodo]]),"")</f>
        <v>7652400646174</v>
      </c>
      <c r="AD113" s="53" t="str">
        <f>IFERROR(VLOOKUP(Data.[[#This Row],[Código LT]],Reportería.[],10,0),"")</f>
        <v/>
      </c>
      <c r="AE113" s="53" t="str">
        <f>IFERROR(VLOOKUP(Data.[[#This Row],[Código LT]],Reportería.[],11,0),"")</f>
        <v/>
      </c>
      <c r="AF113" s="13">
        <f>IFERROR(VLOOKUP(Data.[[#This Row],[Código]],Reportería!A:BV,57,0),0)</f>
        <v>2</v>
      </c>
      <c r="AG113" s="13"/>
      <c r="AH113" s="13"/>
      <c r="AI113" s="11">
        <f>IF(TEXT(Data.[[#This Row],[Periodo]],"mmm-yy")="may-26",VLOOKUP(Data.[[#This Row],[Código]],Reportería!A:BV,57,0),0)</f>
        <v>0</v>
      </c>
      <c r="AJ113" s="11"/>
      <c r="AK113" s="11"/>
      <c r="AL113" s="11">
        <f>IF(Data.[[#This Row],[Vol M0]]="",0,0)</f>
        <v>0</v>
      </c>
      <c r="AM113" s="11">
        <f>IF(Data.[[#This Row],[Vol M0]]="",0,0)</f>
        <v>0</v>
      </c>
      <c r="AN113" s="11">
        <f>IF(Data.[[#This Row],[Vol M0]]="",0,0)</f>
        <v>0</v>
      </c>
      <c r="AO113" s="11">
        <f>IF(Data.[[#This Row],[Vol M0]]="",0,0)</f>
        <v>0</v>
      </c>
      <c r="AP113" s="11">
        <f>IF(Data.[[#This Row],[Vol M0]]="",0,0)</f>
        <v>0</v>
      </c>
      <c r="AQ113" s="11">
        <f>IF(Data.[[#This Row],[Vol M0]]="",0,0)</f>
        <v>0</v>
      </c>
      <c r="AR113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14" spans="1:44" ht="14.25" customHeight="1">
      <c r="A114" s="53" t="str">
        <f>CONCATENATE(Data.[[#This Row],[Código]],Data.[[#This Row],[Ruc]])</f>
        <v>105906420601929351</v>
      </c>
      <c r="B114" s="9">
        <v>46174</v>
      </c>
      <c r="C114" s="53" t="str">
        <f>IFERROR(VLOOKUP(Data.[[#This Row],[Código LT]],Reportería.[],71,0),"")</f>
        <v/>
      </c>
      <c r="D114" s="10">
        <f>IFERROR(VLOOKUP(Data.[[#This Row],[Código]],BV!A:C,2,0),"")</f>
        <v>46185</v>
      </c>
      <c r="E114" s="10">
        <f>IFERROR(VLOOKUP(Data.[[#This Row],[Código]],BV!A:C,3,0),"")</f>
        <v>0</v>
      </c>
      <c r="F114" s="53">
        <v>1059064</v>
      </c>
      <c r="G114" s="8"/>
      <c r="H114" s="8">
        <v>20601929351</v>
      </c>
      <c r="I114" s="8" t="s">
        <v>914</v>
      </c>
      <c r="J114" s="8" t="s">
        <v>915</v>
      </c>
      <c r="K114" s="53" t="str">
        <f>IF(Data.[[#This Row],[Tipo de Venta]]&lt;&gt;"POS","Atendido",IF(Data.[[#This Row],[Fecha de Instalación]]&lt;&gt;"","Atendido","Ingresado"))</f>
        <v>Atendido</v>
      </c>
      <c r="L114" s="53" t="str">
        <f>Data.[[#This Row],[Estado]]</f>
        <v>Atendido</v>
      </c>
      <c r="M114" s="8" t="s">
        <v>33</v>
      </c>
      <c r="N114" s="53" t="str">
        <f>IFERROR(VLOOKUP(Data.[[#This Row],[Código LT]],Reportería.[],20,0),"")</f>
        <v/>
      </c>
      <c r="O114" s="53" t="str">
        <f>IFERROR(VLOOKUP(Data.[[#This Row],[Código LT]],Reportería.[],5,0),"")</f>
        <v/>
      </c>
      <c r="P114" s="11">
        <f>Data.[[#This Row],[GPV Mensual LT]]/COUNTIFS(H:H,Data.[[#This Row],[Ruc]],B:B,Data.[[#This Row],[Periodo]])</f>
        <v>200000</v>
      </c>
      <c r="Q114" s="11">
        <v>200000</v>
      </c>
      <c r="R114" s="8" t="s">
        <v>52</v>
      </c>
      <c r="S114" s="53" t="str">
        <f>VLOOKUP(Data.[[#This Row],[Ejecutivo]],Productividad!D:N,11,0)</f>
        <v>47045287</v>
      </c>
      <c r="T114" s="54" t="str">
        <f>VLOOKUP(Data.[[#This Row],[DNI Ejecutivo]],Productividad!C:U,8,0)</f>
        <v>asifuentesu@lozapay.com.pe</v>
      </c>
      <c r="U114" s="53" t="str">
        <f>VLOOKUP(Data.[[#This Row],[DNI Ejecutivo]],Productividad!C:U,4,0)</f>
        <v>Elite</v>
      </c>
      <c r="V114" s="53" t="str">
        <f>IFERROR(VLOOKUP(Data.[[#This Row],[DNI Ejecutivo]],Ejecutivos.[],11,0),"")</f>
        <v>Norte Fuentes</v>
      </c>
      <c r="W114" s="8" t="s">
        <v>42</v>
      </c>
      <c r="X114" s="53" t="str" cm="1">
        <f t="array" ref="X114">IFERROR(_xlfn.IFS(Data.[[#This Row],[Supervisor]]="Jonathan Lapoint","Norte",Data.[[#This Row],[Supervisor]]="Jorge Fuentes","Norte"),"Lima")</f>
        <v>Norte</v>
      </c>
      <c r="Y114" s="53" t="str">
        <f>VLOOKUP(Data.[[#This Row],[Supervisor]],Ejecutivos!B:S,17,0)</f>
        <v>70059865</v>
      </c>
      <c r="Z114" s="54" t="str">
        <f>VLOOKUP(Data.[[#This Row],[DNI Supervisor]],Productividad!C:U,8,0)</f>
        <v>jfuentes@lozapay.com.pe</v>
      </c>
      <c r="AA114" s="8"/>
      <c r="AB114" s="8" t="s">
        <v>295</v>
      </c>
      <c r="AC114" s="53" t="str">
        <f>IFERROR(CONCATENATE(Data.[[#This Row],[DNI Ejecutivo]],Data.[[#This Row],[Periodo]]),"")</f>
        <v>4704528746174</v>
      </c>
      <c r="AD114" s="53" t="str">
        <f>IFERROR(VLOOKUP(Data.[[#This Row],[Código LT]],Reportería.[],10,0),"")</f>
        <v/>
      </c>
      <c r="AE114" s="53" t="str">
        <f>IFERROR(VLOOKUP(Data.[[#This Row],[Código LT]],Reportería.[],11,0),"")</f>
        <v/>
      </c>
      <c r="AF114" s="13">
        <f>IFERROR(VLOOKUP(Data.[[#This Row],[Código]],Reportería!A:BV,57,0),0)</f>
        <v>0</v>
      </c>
      <c r="AG114" s="13"/>
      <c r="AH114" s="13"/>
      <c r="AI114" s="11">
        <f>IF(TEXT(Data.[[#This Row],[Periodo]],"mmm-yy")="may-26",VLOOKUP(Data.[[#This Row],[Código]],Reportería!A:BV,57,0),0)</f>
        <v>0</v>
      </c>
      <c r="AJ114" s="11"/>
      <c r="AK114" s="11"/>
      <c r="AL114" s="11">
        <f>IF(Data.[[#This Row],[Vol M0]]="",0,0)</f>
        <v>0</v>
      </c>
      <c r="AM114" s="11">
        <f>IF(Data.[[#This Row],[Vol M0]]="",0,0)</f>
        <v>0</v>
      </c>
      <c r="AN114" s="11">
        <f>IF(Data.[[#This Row],[Vol M0]]="",0,0)</f>
        <v>0</v>
      </c>
      <c r="AO114" s="11">
        <f>IF(Data.[[#This Row],[Vol M0]]="",0,0)</f>
        <v>0</v>
      </c>
      <c r="AP114" s="11">
        <f>IF(Data.[[#This Row],[Vol M0]]="",0,0)</f>
        <v>0</v>
      </c>
      <c r="AQ114" s="11">
        <f>IF(Data.[[#This Row],[Vol M0]]="",0,0)</f>
        <v>0</v>
      </c>
      <c r="AR114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15" spans="1:44" ht="14.25" customHeight="1">
      <c r="A115" s="53" t="str">
        <f>CONCATENATE(Data.[[#This Row],[Código]],Data.[[#This Row],[Ruc]])</f>
        <v>596031320614521997</v>
      </c>
      <c r="B115" s="9">
        <v>46174</v>
      </c>
      <c r="C115" s="53" t="str">
        <f>IFERROR(VLOOKUP(Data.[[#This Row],[Código LT]],Reportería.[],71,0),"")</f>
        <v/>
      </c>
      <c r="D115" s="10">
        <f>IFERROR(VLOOKUP(Data.[[#This Row],[Código]],BV!A:C,2,0),"")</f>
        <v>46188</v>
      </c>
      <c r="E115" s="10">
        <f>IFERROR(VLOOKUP(Data.[[#This Row],[Código]],BV!A:C,3,0),"")</f>
        <v>46190</v>
      </c>
      <c r="F115" s="53">
        <v>5960313</v>
      </c>
      <c r="G115" s="8" t="s">
        <v>860</v>
      </c>
      <c r="H115" s="8">
        <v>20614521997</v>
      </c>
      <c r="I115" s="8" t="s">
        <v>861</v>
      </c>
      <c r="J115" s="8" t="s">
        <v>862</v>
      </c>
      <c r="K115" s="53" t="str">
        <f>IF(Data.[[#This Row],[Tipo de Venta]]&lt;&gt;"POS","Atendido",IF(Data.[[#This Row],[Fecha de Instalación]]&lt;&gt;"","Atendido","Ingresado"))</f>
        <v>Atendido</v>
      </c>
      <c r="L115" s="53" t="str">
        <f>Data.[[#This Row],[Estado]]</f>
        <v>Atendido</v>
      </c>
      <c r="M115" s="8" t="s">
        <v>33</v>
      </c>
      <c r="N115" s="53" t="str">
        <f>IFERROR(VLOOKUP(Data.[[#This Row],[Código LT]],Reportería.[],20,0),"")</f>
        <v/>
      </c>
      <c r="O115" s="53" t="str">
        <f>IFERROR(VLOOKUP(Data.[[#This Row],[Código LT]],Reportería.[],5,0),"")</f>
        <v/>
      </c>
      <c r="P115" s="11">
        <f>Data.[[#This Row],[GPV Mensual LT]]/COUNTIFS(H:H,Data.[[#This Row],[Ruc]],B:B,Data.[[#This Row],[Periodo]])</f>
        <v>50000</v>
      </c>
      <c r="Q115" s="11">
        <v>150000</v>
      </c>
      <c r="R115" s="8" t="s">
        <v>34</v>
      </c>
      <c r="S115" s="53" t="str">
        <f>VLOOKUP(Data.[[#This Row],[Ejecutivo]],Productividad!D:N,11,0)</f>
        <v>43661391</v>
      </c>
      <c r="T115" s="54" t="str">
        <f>VLOOKUP(Data.[[#This Row],[DNI Ejecutivo]],Productividad!C:U,8,0)</f>
        <v>mrochar@lozapay.com.pe</v>
      </c>
      <c r="U115" s="53" t="str">
        <f>VLOOKUP(Data.[[#This Row],[DNI Ejecutivo]],Productividad!C:U,4,0)</f>
        <v>Elite</v>
      </c>
      <c r="V115" s="53" t="str">
        <f>IFERROR(VLOOKUP(Data.[[#This Row],[DNI Ejecutivo]],Ejecutivos.[],11,0),"")</f>
        <v>Lima Palomino</v>
      </c>
      <c r="W115" s="8" t="s">
        <v>35</v>
      </c>
      <c r="X115" s="53" t="str" cm="1">
        <f t="array" ref="X115">IFERROR(_xlfn.IFS(Data.[[#This Row],[Supervisor]]="Jonathan Lapoint","Norte",Data.[[#This Row],[Supervisor]]="Jorge Fuentes","Norte"),"Lima")</f>
        <v>Lima</v>
      </c>
      <c r="Y115" s="53" t="str">
        <f>VLOOKUP(Data.[[#This Row],[Supervisor]],Ejecutivos!B:S,17,0)</f>
        <v>41718975</v>
      </c>
      <c r="Z115" s="54" t="str">
        <f>VLOOKUP(Data.[[#This Row],[DNI Supervisor]],Productividad!C:U,8,0)</f>
        <v>carlos.palomino@lozapay.com.pe</v>
      </c>
      <c r="AA115" s="8"/>
      <c r="AB115" s="8" t="s">
        <v>36</v>
      </c>
      <c r="AC115" s="53" t="str">
        <f>IFERROR(CONCATENATE(Data.[[#This Row],[DNI Ejecutivo]],Data.[[#This Row],[Periodo]]),"")</f>
        <v>4366139146174</v>
      </c>
      <c r="AD115" s="53" t="str">
        <f>IFERROR(VLOOKUP(Data.[[#This Row],[Código LT]],Reportería.[],10,0),"")</f>
        <v/>
      </c>
      <c r="AE115" s="53" t="str">
        <f>IFERROR(VLOOKUP(Data.[[#This Row],[Código LT]],Reportería.[],11,0),"")</f>
        <v/>
      </c>
      <c r="AF115" s="13">
        <f>IFERROR(VLOOKUP(Data.[[#This Row],[Código]],Reportería!A:BV,57,0),0)</f>
        <v>1</v>
      </c>
      <c r="AG115" s="13"/>
      <c r="AH115" s="13"/>
      <c r="AI115" s="11">
        <f>IF(TEXT(Data.[[#This Row],[Periodo]],"mmm-yy")="may-26",VLOOKUP(Data.[[#This Row],[Código]],Reportería!A:BV,57,0),0)</f>
        <v>0</v>
      </c>
      <c r="AJ115" s="11"/>
      <c r="AK115" s="11"/>
      <c r="AL115" s="11">
        <f>IF(Data.[[#This Row],[Vol M0]]="",0,0)</f>
        <v>0</v>
      </c>
      <c r="AM115" s="11">
        <f>IF(Data.[[#This Row],[Vol M0]]="",0,0)</f>
        <v>0</v>
      </c>
      <c r="AN115" s="11">
        <f>IF(Data.[[#This Row],[Vol M0]]="",0,0)</f>
        <v>0</v>
      </c>
      <c r="AO115" s="11">
        <f>IF(Data.[[#This Row],[Vol M0]]="",0,0)</f>
        <v>0</v>
      </c>
      <c r="AP115" s="11">
        <f>IF(Data.[[#This Row],[Vol M0]]="",0,0)</f>
        <v>0</v>
      </c>
      <c r="AQ115" s="11">
        <f>IF(Data.[[#This Row],[Vol M0]]="",0,0)</f>
        <v>0</v>
      </c>
      <c r="AR115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16" spans="1:44" ht="14.25" customHeight="1">
      <c r="A116" s="53" t="str">
        <f>CONCATENATE(Data.[[#This Row],[Código]],Data.[[#This Row],[Ruc]])</f>
        <v>596031620614521997</v>
      </c>
      <c r="B116" s="9">
        <v>46174</v>
      </c>
      <c r="C116" s="53" t="str">
        <f>IFERROR(VLOOKUP(Data.[[#This Row],[Código LT]],Reportería.[],71,0),"")</f>
        <v/>
      </c>
      <c r="D116" s="10">
        <f>IFERROR(VLOOKUP(Data.[[#This Row],[Código]],BV!A:C,2,0),"")</f>
        <v>46188</v>
      </c>
      <c r="E116" s="10">
        <f>IFERROR(VLOOKUP(Data.[[#This Row],[Código]],BV!A:C,3,0),"")</f>
        <v>46190</v>
      </c>
      <c r="F116" s="53">
        <v>5960316</v>
      </c>
      <c r="G116" s="8" t="s">
        <v>863</v>
      </c>
      <c r="H116" s="8">
        <v>20614521997</v>
      </c>
      <c r="I116" s="8" t="s">
        <v>861</v>
      </c>
      <c r="J116" s="8" t="s">
        <v>862</v>
      </c>
      <c r="K116" s="53" t="str">
        <f>IF(Data.[[#This Row],[Tipo de Venta]]&lt;&gt;"POS","Atendido",IF(Data.[[#This Row],[Fecha de Instalación]]&lt;&gt;"","Atendido","Ingresado"))</f>
        <v>Atendido</v>
      </c>
      <c r="L116" s="53" t="str">
        <f>Data.[[#This Row],[Estado]]</f>
        <v>Atendido</v>
      </c>
      <c r="M116" s="8" t="s">
        <v>33</v>
      </c>
      <c r="N116" s="53" t="str">
        <f>IFERROR(VLOOKUP(Data.[[#This Row],[Código LT]],Reportería.[],20,0),"")</f>
        <v/>
      </c>
      <c r="O116" s="53" t="str">
        <f>IFERROR(VLOOKUP(Data.[[#This Row],[Código LT]],Reportería.[],5,0),"")</f>
        <v/>
      </c>
      <c r="P116" s="11">
        <f>Data.[[#This Row],[GPV Mensual LT]]/COUNTIFS(H:H,Data.[[#This Row],[Ruc]],B:B,Data.[[#This Row],[Periodo]])</f>
        <v>50000</v>
      </c>
      <c r="Q116" s="11">
        <v>150000</v>
      </c>
      <c r="R116" s="8" t="s">
        <v>34</v>
      </c>
      <c r="S116" s="53" t="str">
        <f>VLOOKUP(Data.[[#This Row],[Ejecutivo]],Productividad!D:N,11,0)</f>
        <v>43661391</v>
      </c>
      <c r="T116" s="54" t="str">
        <f>VLOOKUP(Data.[[#This Row],[DNI Ejecutivo]],Productividad!C:U,8,0)</f>
        <v>mrochar@lozapay.com.pe</v>
      </c>
      <c r="U116" s="53" t="str">
        <f>VLOOKUP(Data.[[#This Row],[DNI Ejecutivo]],Productividad!C:U,4,0)</f>
        <v>Elite</v>
      </c>
      <c r="V116" s="53" t="str">
        <f>IFERROR(VLOOKUP(Data.[[#This Row],[DNI Ejecutivo]],Ejecutivos.[],11,0),"")</f>
        <v>Lima Palomino</v>
      </c>
      <c r="W116" s="8" t="s">
        <v>35</v>
      </c>
      <c r="X116" s="53" t="str" cm="1">
        <f t="array" ref="X116">IFERROR(_xlfn.IFS(Data.[[#This Row],[Supervisor]]="Jonathan Lapoint","Norte",Data.[[#This Row],[Supervisor]]="Jorge Fuentes","Norte"),"Lima")</f>
        <v>Lima</v>
      </c>
      <c r="Y116" s="53" t="str">
        <f>VLOOKUP(Data.[[#This Row],[Supervisor]],Ejecutivos!B:S,17,0)</f>
        <v>41718975</v>
      </c>
      <c r="Z116" s="54" t="str">
        <f>VLOOKUP(Data.[[#This Row],[DNI Supervisor]],Productividad!C:U,8,0)</f>
        <v>carlos.palomino@lozapay.com.pe</v>
      </c>
      <c r="AA116" s="8"/>
      <c r="AB116" s="8" t="s">
        <v>36</v>
      </c>
      <c r="AC116" s="53" t="str">
        <f>IFERROR(CONCATENATE(Data.[[#This Row],[DNI Ejecutivo]],Data.[[#This Row],[Periodo]]),"")</f>
        <v>4366139146174</v>
      </c>
      <c r="AD116" s="53" t="str">
        <f>IFERROR(VLOOKUP(Data.[[#This Row],[Código LT]],Reportería.[],10,0),"")</f>
        <v/>
      </c>
      <c r="AE116" s="53" t="str">
        <f>IFERROR(VLOOKUP(Data.[[#This Row],[Código LT]],Reportería.[],11,0),"")</f>
        <v/>
      </c>
      <c r="AF116" s="13">
        <f>IFERROR(VLOOKUP(Data.[[#This Row],[Código]],Reportería!A:BV,57,0),0)</f>
        <v>1</v>
      </c>
      <c r="AG116" s="13"/>
      <c r="AH116" s="13"/>
      <c r="AI116" s="11">
        <f>IF(TEXT(Data.[[#This Row],[Periodo]],"mmm-yy")="may-26",VLOOKUP(Data.[[#This Row],[Código]],Reportería!A:BV,57,0),0)</f>
        <v>0</v>
      </c>
      <c r="AJ116" s="11"/>
      <c r="AK116" s="11"/>
      <c r="AL116" s="11">
        <f>IF(Data.[[#This Row],[Vol M0]]="",0,0)</f>
        <v>0</v>
      </c>
      <c r="AM116" s="11">
        <f>IF(Data.[[#This Row],[Vol M0]]="",0,0)</f>
        <v>0</v>
      </c>
      <c r="AN116" s="11">
        <f>IF(Data.[[#This Row],[Vol M0]]="",0,0)</f>
        <v>0</v>
      </c>
      <c r="AO116" s="11">
        <f>IF(Data.[[#This Row],[Vol M0]]="",0,0)</f>
        <v>0</v>
      </c>
      <c r="AP116" s="11">
        <f>IF(Data.[[#This Row],[Vol M0]]="",0,0)</f>
        <v>0</v>
      </c>
      <c r="AQ116" s="11">
        <f>IF(Data.[[#This Row],[Vol M0]]="",0,0)</f>
        <v>0</v>
      </c>
      <c r="AR116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17" spans="1:44" ht="14.25" customHeight="1">
      <c r="A117" s="53" t="str">
        <f>CONCATENATE(Data.[[#This Row],[Código]],Data.[[#This Row],[Ruc]])</f>
        <v>596031820614521997</v>
      </c>
      <c r="B117" s="9">
        <v>46174</v>
      </c>
      <c r="C117" s="53" t="str">
        <f>IFERROR(VLOOKUP(Data.[[#This Row],[Código LT]],Reportería.[],71,0),"")</f>
        <v/>
      </c>
      <c r="D117" s="10">
        <f>IFERROR(VLOOKUP(Data.[[#This Row],[Código]],BV!A:C,2,0),"")</f>
        <v>46188</v>
      </c>
      <c r="E117" s="10">
        <f>IFERROR(VLOOKUP(Data.[[#This Row],[Código]],BV!A:C,3,0),"")</f>
        <v>46190</v>
      </c>
      <c r="F117" s="53">
        <v>5960318</v>
      </c>
      <c r="G117" s="8" t="s">
        <v>864</v>
      </c>
      <c r="H117" s="8">
        <v>20614521997</v>
      </c>
      <c r="I117" s="8" t="s">
        <v>861</v>
      </c>
      <c r="J117" s="8" t="s">
        <v>862</v>
      </c>
      <c r="K117" s="53" t="str">
        <f>IF(Data.[[#This Row],[Tipo de Venta]]&lt;&gt;"POS","Atendido",IF(Data.[[#This Row],[Fecha de Instalación]]&lt;&gt;"","Atendido","Ingresado"))</f>
        <v>Atendido</v>
      </c>
      <c r="L117" s="53" t="str">
        <f>Data.[[#This Row],[Estado]]</f>
        <v>Atendido</v>
      </c>
      <c r="M117" s="8" t="s">
        <v>33</v>
      </c>
      <c r="N117" s="53" t="str">
        <f>IFERROR(VLOOKUP(Data.[[#This Row],[Código LT]],Reportería.[],20,0),"")</f>
        <v/>
      </c>
      <c r="O117" s="53" t="str">
        <f>IFERROR(VLOOKUP(Data.[[#This Row],[Código LT]],Reportería.[],5,0),"")</f>
        <v/>
      </c>
      <c r="P117" s="11">
        <f>Data.[[#This Row],[GPV Mensual LT]]/COUNTIFS(H:H,Data.[[#This Row],[Ruc]],B:B,Data.[[#This Row],[Periodo]])</f>
        <v>50000</v>
      </c>
      <c r="Q117" s="11">
        <v>150000</v>
      </c>
      <c r="R117" s="8" t="s">
        <v>34</v>
      </c>
      <c r="S117" s="53" t="str">
        <f>VLOOKUP(Data.[[#This Row],[Ejecutivo]],Productividad!D:N,11,0)</f>
        <v>43661391</v>
      </c>
      <c r="T117" s="54" t="str">
        <f>VLOOKUP(Data.[[#This Row],[DNI Ejecutivo]],Productividad!C:U,8,0)</f>
        <v>mrochar@lozapay.com.pe</v>
      </c>
      <c r="U117" s="53" t="str">
        <f>VLOOKUP(Data.[[#This Row],[DNI Ejecutivo]],Productividad!C:U,4,0)</f>
        <v>Elite</v>
      </c>
      <c r="V117" s="53" t="str">
        <f>IFERROR(VLOOKUP(Data.[[#This Row],[DNI Ejecutivo]],Ejecutivos.[],11,0),"")</f>
        <v>Lima Palomino</v>
      </c>
      <c r="W117" s="8" t="s">
        <v>35</v>
      </c>
      <c r="X117" s="53" t="str" cm="1">
        <f t="array" ref="X117">IFERROR(_xlfn.IFS(Data.[[#This Row],[Supervisor]]="Jonathan Lapoint","Norte",Data.[[#This Row],[Supervisor]]="Jorge Fuentes","Norte"),"Lima")</f>
        <v>Lima</v>
      </c>
      <c r="Y117" s="53" t="str">
        <f>VLOOKUP(Data.[[#This Row],[Supervisor]],Ejecutivos!B:S,17,0)</f>
        <v>41718975</v>
      </c>
      <c r="Z117" s="54" t="str">
        <f>VLOOKUP(Data.[[#This Row],[DNI Supervisor]],Productividad!C:U,8,0)</f>
        <v>carlos.palomino@lozapay.com.pe</v>
      </c>
      <c r="AA117" s="8"/>
      <c r="AB117" s="8" t="s">
        <v>36</v>
      </c>
      <c r="AC117" s="53" t="str">
        <f>IFERROR(CONCATENATE(Data.[[#This Row],[DNI Ejecutivo]],Data.[[#This Row],[Periodo]]),"")</f>
        <v>4366139146174</v>
      </c>
      <c r="AD117" s="53" t="str">
        <f>IFERROR(VLOOKUP(Data.[[#This Row],[Código LT]],Reportería.[],10,0),"")</f>
        <v/>
      </c>
      <c r="AE117" s="53" t="str">
        <f>IFERROR(VLOOKUP(Data.[[#This Row],[Código LT]],Reportería.[],11,0),"")</f>
        <v/>
      </c>
      <c r="AF117" s="13">
        <f>IFERROR(VLOOKUP(Data.[[#This Row],[Código]],Reportería!A:BV,57,0),0)</f>
        <v>1</v>
      </c>
      <c r="AG117" s="13"/>
      <c r="AH117" s="13"/>
      <c r="AI117" s="11">
        <f>IF(TEXT(Data.[[#This Row],[Periodo]],"mmm-yy")="may-26",VLOOKUP(Data.[[#This Row],[Código]],Reportería!A:BV,57,0),0)</f>
        <v>0</v>
      </c>
      <c r="AJ117" s="11"/>
      <c r="AK117" s="11"/>
      <c r="AL117" s="11">
        <f>IF(Data.[[#This Row],[Vol M0]]="",0,0)</f>
        <v>0</v>
      </c>
      <c r="AM117" s="11">
        <f>IF(Data.[[#This Row],[Vol M0]]="",0,0)</f>
        <v>0</v>
      </c>
      <c r="AN117" s="11">
        <f>IF(Data.[[#This Row],[Vol M0]]="",0,0)</f>
        <v>0</v>
      </c>
      <c r="AO117" s="11">
        <f>IF(Data.[[#This Row],[Vol M0]]="",0,0)</f>
        <v>0</v>
      </c>
      <c r="AP117" s="11">
        <f>IF(Data.[[#This Row],[Vol M0]]="",0,0)</f>
        <v>0</v>
      </c>
      <c r="AQ117" s="11">
        <f>IF(Data.[[#This Row],[Vol M0]]="",0,0)</f>
        <v>0</v>
      </c>
      <c r="AR117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18" spans="1:44" ht="14.25" customHeight="1">
      <c r="A118" s="53" t="str">
        <f>CONCATENATE(Data.[[#This Row],[Código]],Data.[[#This Row],[Ruc]])</f>
        <v>105901020601315603</v>
      </c>
      <c r="B118" s="9">
        <v>46174</v>
      </c>
      <c r="C118" s="53" t="str">
        <f>IFERROR(VLOOKUP(Data.[[#This Row],[Código LT]],Reportería.[],71,0),"")</f>
        <v/>
      </c>
      <c r="D118" s="10">
        <f>IFERROR(VLOOKUP(Data.[[#This Row],[Código]],BV!A:C,2,0),"")</f>
        <v>46188</v>
      </c>
      <c r="E118" s="10">
        <f>IFERROR(VLOOKUP(Data.[[#This Row],[Código]],BV!A:C,3,0),"")</f>
        <v>0</v>
      </c>
      <c r="F118" s="53">
        <v>1059010</v>
      </c>
      <c r="G118" s="8"/>
      <c r="H118" s="8">
        <v>20601315603</v>
      </c>
      <c r="I118" s="8" t="s">
        <v>865</v>
      </c>
      <c r="J118" s="8" t="s">
        <v>866</v>
      </c>
      <c r="K118" s="53" t="str">
        <f>IF(Data.[[#This Row],[Tipo de Venta]]&lt;&gt;"POS","Atendido",IF(Data.[[#This Row],[Fecha de Instalación]]&lt;&gt;"","Atendido","Ingresado"))</f>
        <v>Atendido</v>
      </c>
      <c r="L118" s="53" t="str">
        <f>Data.[[#This Row],[Estado]]</f>
        <v>Atendido</v>
      </c>
      <c r="M118" s="8" t="s">
        <v>33</v>
      </c>
      <c r="N118" s="53" t="str">
        <f>IFERROR(VLOOKUP(Data.[[#This Row],[Código LT]],Reportería.[],20,0),"")</f>
        <v/>
      </c>
      <c r="O118" s="53" t="str">
        <f>IFERROR(VLOOKUP(Data.[[#This Row],[Código LT]],Reportería.[],5,0),"")</f>
        <v/>
      </c>
      <c r="P118" s="11">
        <f>Data.[[#This Row],[GPV Mensual LT]]/COUNTIFS(H:H,Data.[[#This Row],[Ruc]],B:B,Data.[[#This Row],[Periodo]])</f>
        <v>100000</v>
      </c>
      <c r="Q118" s="11">
        <v>100000</v>
      </c>
      <c r="R118" s="8" t="s">
        <v>52</v>
      </c>
      <c r="S118" s="53" t="str">
        <f>VLOOKUP(Data.[[#This Row],[Ejecutivo]],Productividad!D:N,11,0)</f>
        <v>47045287</v>
      </c>
      <c r="T118" s="54" t="str">
        <f>VLOOKUP(Data.[[#This Row],[DNI Ejecutivo]],Productividad!C:U,8,0)</f>
        <v>asifuentesu@lozapay.com.pe</v>
      </c>
      <c r="U118" s="53" t="str">
        <f>VLOOKUP(Data.[[#This Row],[DNI Ejecutivo]],Productividad!C:U,4,0)</f>
        <v>Elite</v>
      </c>
      <c r="V118" s="53" t="str">
        <f>IFERROR(VLOOKUP(Data.[[#This Row],[DNI Ejecutivo]],Ejecutivos.[],11,0),"")</f>
        <v>Norte Fuentes</v>
      </c>
      <c r="W118" s="8" t="s">
        <v>42</v>
      </c>
      <c r="X118" s="53" t="str" cm="1">
        <f t="array" ref="X118">IFERROR(_xlfn.IFS(Data.[[#This Row],[Supervisor]]="Jonathan Lapoint","Norte",Data.[[#This Row],[Supervisor]]="Jorge Fuentes","Norte"),"Lima")</f>
        <v>Norte</v>
      </c>
      <c r="Y118" s="53" t="str">
        <f>VLOOKUP(Data.[[#This Row],[Supervisor]],Ejecutivos!B:S,17,0)</f>
        <v>70059865</v>
      </c>
      <c r="Z118" s="54" t="str">
        <f>VLOOKUP(Data.[[#This Row],[DNI Supervisor]],Productividad!C:U,8,0)</f>
        <v>jfuentes@lozapay.com.pe</v>
      </c>
      <c r="AA118" s="8"/>
      <c r="AB118" s="8" t="s">
        <v>295</v>
      </c>
      <c r="AC118" s="53" t="str">
        <f>IFERROR(CONCATENATE(Data.[[#This Row],[DNI Ejecutivo]],Data.[[#This Row],[Periodo]]),"")</f>
        <v>4704528746174</v>
      </c>
      <c r="AD118" s="53" t="str">
        <f>IFERROR(VLOOKUP(Data.[[#This Row],[Código LT]],Reportería.[],10,0),"")</f>
        <v/>
      </c>
      <c r="AE118" s="53" t="str">
        <f>IFERROR(VLOOKUP(Data.[[#This Row],[Código LT]],Reportería.[],11,0),"")</f>
        <v/>
      </c>
      <c r="AF118" s="13">
        <f>IFERROR(VLOOKUP(Data.[[#This Row],[Código]],Reportería!A:BV,57,0),0)</f>
        <v>0</v>
      </c>
      <c r="AG118" s="13"/>
      <c r="AH118" s="13"/>
      <c r="AI118" s="11">
        <f>IF(TEXT(Data.[[#This Row],[Periodo]],"mmm-yy")="may-26",VLOOKUP(Data.[[#This Row],[Código]],Reportería!A:BV,57,0),0)</f>
        <v>0</v>
      </c>
      <c r="AJ118" s="11"/>
      <c r="AK118" s="11"/>
      <c r="AL118" s="11">
        <f>IF(Data.[[#This Row],[Vol M0]]="",0,0)</f>
        <v>0</v>
      </c>
      <c r="AM118" s="11">
        <f>IF(Data.[[#This Row],[Vol M0]]="",0,0)</f>
        <v>0</v>
      </c>
      <c r="AN118" s="11">
        <f>IF(Data.[[#This Row],[Vol M0]]="",0,0)</f>
        <v>0</v>
      </c>
      <c r="AO118" s="11">
        <f>IF(Data.[[#This Row],[Vol M0]]="",0,0)</f>
        <v>0</v>
      </c>
      <c r="AP118" s="11">
        <f>IF(Data.[[#This Row],[Vol M0]]="",0,0)</f>
        <v>0</v>
      </c>
      <c r="AQ118" s="11">
        <f>IF(Data.[[#This Row],[Vol M0]]="",0,0)</f>
        <v>0</v>
      </c>
      <c r="AR118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19" spans="1:44" ht="14.25" customHeight="1">
      <c r="A119" s="53" t="str">
        <f>CONCATENATE(Data.[[#This Row],[Código]],Data.[[#This Row],[Ruc]])</f>
        <v>589751620614733765</v>
      </c>
      <c r="B119" s="9">
        <v>46174</v>
      </c>
      <c r="C119" s="53" t="str">
        <f>IFERROR(VLOOKUP(Data.[[#This Row],[Código LT]],Reportería.[],71,0),"")</f>
        <v/>
      </c>
      <c r="D119" s="10">
        <f>IFERROR(VLOOKUP(Data.[[#This Row],[Código]],BV!A:C,2,0),"")</f>
        <v>46188</v>
      </c>
      <c r="E119" s="10">
        <f>IFERROR(VLOOKUP(Data.[[#This Row],[Código]],BV!A:C,3,0),"")</f>
        <v>46188</v>
      </c>
      <c r="F119" s="53">
        <v>5897516</v>
      </c>
      <c r="G119" s="8" t="s">
        <v>867</v>
      </c>
      <c r="H119" s="8">
        <v>20614733765</v>
      </c>
      <c r="I119" s="8" t="s">
        <v>868</v>
      </c>
      <c r="J119" s="8" t="s">
        <v>869</v>
      </c>
      <c r="K119" s="53" t="str">
        <f>IF(Data.[[#This Row],[Tipo de Venta]]&lt;&gt;"POS","Atendido",IF(Data.[[#This Row],[Fecha de Instalación]]&lt;&gt;"","Atendido","Ingresado"))</f>
        <v>Atendido</v>
      </c>
      <c r="L119" s="53" t="str">
        <f>Data.[[#This Row],[Estado]]</f>
        <v>Atendido</v>
      </c>
      <c r="M119" s="8" t="s">
        <v>33</v>
      </c>
      <c r="N119" s="53" t="str">
        <f>IFERROR(VLOOKUP(Data.[[#This Row],[Código LT]],Reportería.[],20,0),"")</f>
        <v/>
      </c>
      <c r="O119" s="53" t="str">
        <f>IFERROR(VLOOKUP(Data.[[#This Row],[Código LT]],Reportería.[],5,0),"")</f>
        <v/>
      </c>
      <c r="P119" s="11">
        <f>Data.[[#This Row],[GPV Mensual LT]]/COUNTIFS(H:H,Data.[[#This Row],[Ruc]],B:B,Data.[[#This Row],[Periodo]])</f>
        <v>150000</v>
      </c>
      <c r="Q119" s="11">
        <v>150000</v>
      </c>
      <c r="R119" s="8" t="s">
        <v>159</v>
      </c>
      <c r="S119" s="53" t="str">
        <f>VLOOKUP(Data.[[#This Row],[Ejecutivo]],Productividad!D:N,11,0)</f>
        <v>76524006</v>
      </c>
      <c r="T119" s="54" t="str">
        <f>VLOOKUP(Data.[[#This Row],[DNI Ejecutivo]],Productividad!C:U,8,0)</f>
        <v>jjaimesb@lozapay.com.pe</v>
      </c>
      <c r="U119" s="53" t="str">
        <f>VLOOKUP(Data.[[#This Row],[DNI Ejecutivo]],Productividad!C:U,4,0)</f>
        <v>Senior</v>
      </c>
      <c r="V119" s="53" t="str">
        <f>IFERROR(VLOOKUP(Data.[[#This Row],[DNI Ejecutivo]],Ejecutivos.[],11,0),"")</f>
        <v>Lima Palomino</v>
      </c>
      <c r="W119" s="8" t="s">
        <v>35</v>
      </c>
      <c r="X119" s="53" t="str" cm="1">
        <f t="array" ref="X119">IFERROR(_xlfn.IFS(Data.[[#This Row],[Supervisor]]="Jonathan Lapoint","Norte",Data.[[#This Row],[Supervisor]]="Jorge Fuentes","Norte"),"Lima")</f>
        <v>Lima</v>
      </c>
      <c r="Y119" s="53" t="str">
        <f>VLOOKUP(Data.[[#This Row],[Supervisor]],Ejecutivos!B:S,17,0)</f>
        <v>41718975</v>
      </c>
      <c r="Z119" s="54" t="str">
        <f>VLOOKUP(Data.[[#This Row],[DNI Supervisor]],Productividad!C:U,8,0)</f>
        <v>carlos.palomino@lozapay.com.pe</v>
      </c>
      <c r="AA119" s="8"/>
      <c r="AB119" s="8" t="s">
        <v>160</v>
      </c>
      <c r="AC119" s="53" t="str">
        <f>IFERROR(CONCATENATE(Data.[[#This Row],[DNI Ejecutivo]],Data.[[#This Row],[Periodo]]),"")</f>
        <v>7652400646174</v>
      </c>
      <c r="AD119" s="53" t="str">
        <f>IFERROR(VLOOKUP(Data.[[#This Row],[Código LT]],Reportería.[],10,0),"")</f>
        <v/>
      </c>
      <c r="AE119" s="53" t="str">
        <f>IFERROR(VLOOKUP(Data.[[#This Row],[Código LT]],Reportería.[],11,0),"")</f>
        <v/>
      </c>
      <c r="AF119" s="13">
        <f>IFERROR(VLOOKUP(Data.[[#This Row],[Código]],Reportería!A:BV,57,0),0)</f>
        <v>0</v>
      </c>
      <c r="AG119" s="13"/>
      <c r="AH119" s="13"/>
      <c r="AI119" s="11">
        <f>IF(TEXT(Data.[[#This Row],[Periodo]],"mmm-yy")="may-26",VLOOKUP(Data.[[#This Row],[Código]],Reportería!A:BV,57,0),0)</f>
        <v>0</v>
      </c>
      <c r="AJ119" s="11"/>
      <c r="AK119" s="11"/>
      <c r="AL119" s="11">
        <f>IF(Data.[[#This Row],[Vol M0]]="",0,0)</f>
        <v>0</v>
      </c>
      <c r="AM119" s="11">
        <f>IF(Data.[[#This Row],[Vol M0]]="",0,0)</f>
        <v>0</v>
      </c>
      <c r="AN119" s="11">
        <f>IF(Data.[[#This Row],[Vol M0]]="",0,0)</f>
        <v>0</v>
      </c>
      <c r="AO119" s="11">
        <f>IF(Data.[[#This Row],[Vol M0]]="",0,0)</f>
        <v>0</v>
      </c>
      <c r="AP119" s="11">
        <f>IF(Data.[[#This Row],[Vol M0]]="",0,0)</f>
        <v>0</v>
      </c>
      <c r="AQ119" s="11">
        <f>IF(Data.[[#This Row],[Vol M0]]="",0,0)</f>
        <v>0</v>
      </c>
      <c r="AR119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20" spans="1:44" ht="14.25" customHeight="1">
      <c r="A120" s="53" t="str">
        <f>CONCATENATE(Data.[[#This Row],[Código]],Data.[[#This Row],[Ruc]])</f>
        <v>567768520612526291</v>
      </c>
      <c r="B120" s="9">
        <v>46174</v>
      </c>
      <c r="C120" s="53" t="str">
        <f>IFERROR(VLOOKUP(Data.[[#This Row],[Código LT]],Reportería.[],71,0),"")</f>
        <v/>
      </c>
      <c r="D120" s="10">
        <f>IFERROR(VLOOKUP(Data.[[#This Row],[Código]],BV!A:C,2,0),"")</f>
        <v>46189</v>
      </c>
      <c r="E120" s="10">
        <f>IFERROR(VLOOKUP(Data.[[#This Row],[Código]],BV!A:C,3,0),"")</f>
        <v>46189</v>
      </c>
      <c r="F120" s="53">
        <v>5677685</v>
      </c>
      <c r="G120" s="8" t="s">
        <v>870</v>
      </c>
      <c r="H120" s="8">
        <v>20612526291</v>
      </c>
      <c r="I120" s="8" t="s">
        <v>871</v>
      </c>
      <c r="J120" s="8" t="s">
        <v>872</v>
      </c>
      <c r="K120" s="53" t="str">
        <f>IF(Data.[[#This Row],[Tipo de Venta]]&lt;&gt;"POS","Atendido",IF(Data.[[#This Row],[Fecha de Instalación]]&lt;&gt;"","Atendido","Ingresado"))</f>
        <v>Atendido</v>
      </c>
      <c r="L120" s="53" t="str">
        <f>Data.[[#This Row],[Estado]]</f>
        <v>Atendido</v>
      </c>
      <c r="M120" s="8" t="s">
        <v>33</v>
      </c>
      <c r="N120" s="53" t="str">
        <f>IFERROR(VLOOKUP(Data.[[#This Row],[Código LT]],Reportería.[],20,0),"")</f>
        <v/>
      </c>
      <c r="O120" s="53" t="str">
        <f>IFERROR(VLOOKUP(Data.[[#This Row],[Código LT]],Reportería.[],5,0),"")</f>
        <v/>
      </c>
      <c r="P120" s="11">
        <f>Data.[[#This Row],[GPV Mensual LT]]/COUNTIFS(H:H,Data.[[#This Row],[Ruc]],B:B,Data.[[#This Row],[Periodo]])</f>
        <v>26666.666666666668</v>
      </c>
      <c r="Q120" s="11">
        <v>160000</v>
      </c>
      <c r="R120" s="8" t="s">
        <v>159</v>
      </c>
      <c r="S120" s="53" t="str">
        <f>VLOOKUP(Data.[[#This Row],[Ejecutivo]],Productividad!D:N,11,0)</f>
        <v>76524006</v>
      </c>
      <c r="T120" s="54" t="str">
        <f>VLOOKUP(Data.[[#This Row],[DNI Ejecutivo]],Productividad!C:U,8,0)</f>
        <v>jjaimesb@lozapay.com.pe</v>
      </c>
      <c r="U120" s="53" t="str">
        <f>VLOOKUP(Data.[[#This Row],[DNI Ejecutivo]],Productividad!C:U,4,0)</f>
        <v>Senior</v>
      </c>
      <c r="V120" s="53" t="str">
        <f>IFERROR(VLOOKUP(Data.[[#This Row],[DNI Ejecutivo]],Ejecutivos.[],11,0),"")</f>
        <v>Lima Palomino</v>
      </c>
      <c r="W120" s="8" t="s">
        <v>35</v>
      </c>
      <c r="X120" s="53" t="str" cm="1">
        <f t="array" ref="X120">IFERROR(_xlfn.IFS(Data.[[#This Row],[Supervisor]]="Jonathan Lapoint","Norte",Data.[[#This Row],[Supervisor]]="Jorge Fuentes","Norte"),"Lima")</f>
        <v>Lima</v>
      </c>
      <c r="Y120" s="53" t="str">
        <f>VLOOKUP(Data.[[#This Row],[Supervisor]],Ejecutivos!B:S,17,0)</f>
        <v>41718975</v>
      </c>
      <c r="Z120" s="54" t="str">
        <f>VLOOKUP(Data.[[#This Row],[DNI Supervisor]],Productividad!C:U,8,0)</f>
        <v>carlos.palomino@lozapay.com.pe</v>
      </c>
      <c r="AA120" s="8"/>
      <c r="AB120" s="8" t="s">
        <v>160</v>
      </c>
      <c r="AC120" s="53" t="str">
        <f>IFERROR(CONCATENATE(Data.[[#This Row],[DNI Ejecutivo]],Data.[[#This Row],[Periodo]]),"")</f>
        <v>7652400646174</v>
      </c>
      <c r="AD120" s="53" t="str">
        <f>IFERROR(VLOOKUP(Data.[[#This Row],[Código LT]],Reportería.[],10,0),"")</f>
        <v/>
      </c>
      <c r="AE120" s="53" t="str">
        <f>IFERROR(VLOOKUP(Data.[[#This Row],[Código LT]],Reportería.[],11,0),"")</f>
        <v/>
      </c>
      <c r="AF120" s="13">
        <f>IFERROR(VLOOKUP(Data.[[#This Row],[Código]],Reportería!A:BV,57,0),0)</f>
        <v>0</v>
      </c>
      <c r="AG120" s="13"/>
      <c r="AH120" s="13"/>
      <c r="AI120" s="11">
        <f>IF(TEXT(Data.[[#This Row],[Periodo]],"mmm-yy")="may-26",VLOOKUP(Data.[[#This Row],[Código]],Reportería!A:BV,57,0),0)</f>
        <v>0</v>
      </c>
      <c r="AJ120" s="11"/>
      <c r="AK120" s="11"/>
      <c r="AL120" s="11">
        <f>IF(Data.[[#This Row],[Vol M0]]="",0,0)</f>
        <v>0</v>
      </c>
      <c r="AM120" s="11">
        <f>IF(Data.[[#This Row],[Vol M0]]="",0,0)</f>
        <v>0</v>
      </c>
      <c r="AN120" s="11">
        <f>IF(Data.[[#This Row],[Vol M0]]="",0,0)</f>
        <v>0</v>
      </c>
      <c r="AO120" s="11">
        <f>IF(Data.[[#This Row],[Vol M0]]="",0,0)</f>
        <v>0</v>
      </c>
      <c r="AP120" s="11">
        <f>IF(Data.[[#This Row],[Vol M0]]="",0,0)</f>
        <v>0</v>
      </c>
      <c r="AQ120" s="11">
        <f>IF(Data.[[#This Row],[Vol M0]]="",0,0)</f>
        <v>0</v>
      </c>
      <c r="AR120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21" spans="1:44" ht="14.25" customHeight="1">
      <c r="A121" s="53" t="str">
        <f>CONCATENATE(Data.[[#This Row],[Código]],Data.[[#This Row],[Ruc]])</f>
        <v>567769520612526291</v>
      </c>
      <c r="B121" s="9">
        <v>46174</v>
      </c>
      <c r="C121" s="53" t="str">
        <f>IFERROR(VLOOKUP(Data.[[#This Row],[Código LT]],Reportería.[],71,0),"")</f>
        <v/>
      </c>
      <c r="D121" s="10">
        <f>IFERROR(VLOOKUP(Data.[[#This Row],[Código]],BV!A:C,2,0),"")</f>
        <v>46189</v>
      </c>
      <c r="E121" s="10">
        <f>IFERROR(VLOOKUP(Data.[[#This Row],[Código]],BV!A:C,3,0),"")</f>
        <v>46189</v>
      </c>
      <c r="F121" s="53">
        <v>5677695</v>
      </c>
      <c r="G121" s="8" t="s">
        <v>873</v>
      </c>
      <c r="H121" s="8">
        <v>20612526291</v>
      </c>
      <c r="I121" s="8" t="s">
        <v>871</v>
      </c>
      <c r="J121" s="8" t="s">
        <v>872</v>
      </c>
      <c r="K121" s="53" t="str">
        <f>IF(Data.[[#This Row],[Tipo de Venta]]&lt;&gt;"POS","Atendido",IF(Data.[[#This Row],[Fecha de Instalación]]&lt;&gt;"","Atendido","Ingresado"))</f>
        <v>Atendido</v>
      </c>
      <c r="L121" s="53" t="str">
        <f>Data.[[#This Row],[Estado]]</f>
        <v>Atendido</v>
      </c>
      <c r="M121" s="8" t="s">
        <v>33</v>
      </c>
      <c r="N121" s="53" t="str">
        <f>IFERROR(VLOOKUP(Data.[[#This Row],[Código LT]],Reportería.[],20,0),"")</f>
        <v/>
      </c>
      <c r="O121" s="53" t="str">
        <f>IFERROR(VLOOKUP(Data.[[#This Row],[Código LT]],Reportería.[],5,0),"")</f>
        <v/>
      </c>
      <c r="P121" s="11">
        <f>Data.[[#This Row],[GPV Mensual LT]]/COUNTIFS(H:H,Data.[[#This Row],[Ruc]],B:B,Data.[[#This Row],[Periodo]])</f>
        <v>26666.666666666668</v>
      </c>
      <c r="Q121" s="11">
        <v>160000</v>
      </c>
      <c r="R121" s="8" t="s">
        <v>159</v>
      </c>
      <c r="S121" s="53" t="str">
        <f>VLOOKUP(Data.[[#This Row],[Ejecutivo]],Productividad!D:N,11,0)</f>
        <v>76524006</v>
      </c>
      <c r="T121" s="54" t="str">
        <f>VLOOKUP(Data.[[#This Row],[DNI Ejecutivo]],Productividad!C:U,8,0)</f>
        <v>jjaimesb@lozapay.com.pe</v>
      </c>
      <c r="U121" s="53" t="str">
        <f>VLOOKUP(Data.[[#This Row],[DNI Ejecutivo]],Productividad!C:U,4,0)</f>
        <v>Senior</v>
      </c>
      <c r="V121" s="53" t="str">
        <f>IFERROR(VLOOKUP(Data.[[#This Row],[DNI Ejecutivo]],Ejecutivos.[],11,0),"")</f>
        <v>Lima Palomino</v>
      </c>
      <c r="W121" s="8" t="s">
        <v>35</v>
      </c>
      <c r="X121" s="53" t="str" cm="1">
        <f t="array" ref="X121">IFERROR(_xlfn.IFS(Data.[[#This Row],[Supervisor]]="Jonathan Lapoint","Norte",Data.[[#This Row],[Supervisor]]="Jorge Fuentes","Norte"),"Lima")</f>
        <v>Lima</v>
      </c>
      <c r="Y121" s="53" t="str">
        <f>VLOOKUP(Data.[[#This Row],[Supervisor]],Ejecutivos!B:S,17,0)</f>
        <v>41718975</v>
      </c>
      <c r="Z121" s="54" t="str">
        <f>VLOOKUP(Data.[[#This Row],[DNI Supervisor]],Productividad!C:U,8,0)</f>
        <v>carlos.palomino@lozapay.com.pe</v>
      </c>
      <c r="AA121" s="8"/>
      <c r="AB121" s="8" t="s">
        <v>160</v>
      </c>
      <c r="AC121" s="53" t="str">
        <f>IFERROR(CONCATENATE(Data.[[#This Row],[DNI Ejecutivo]],Data.[[#This Row],[Periodo]]),"")</f>
        <v>7652400646174</v>
      </c>
      <c r="AD121" s="53" t="str">
        <f>IFERROR(VLOOKUP(Data.[[#This Row],[Código LT]],Reportería.[],10,0),"")</f>
        <v/>
      </c>
      <c r="AE121" s="53" t="str">
        <f>IFERROR(VLOOKUP(Data.[[#This Row],[Código LT]],Reportería.[],11,0),"")</f>
        <v/>
      </c>
      <c r="AF121" s="13">
        <f>IFERROR(VLOOKUP(Data.[[#This Row],[Código]],Reportería!A:BV,57,0),0)</f>
        <v>0</v>
      </c>
      <c r="AG121" s="13"/>
      <c r="AH121" s="13"/>
      <c r="AI121" s="11">
        <f>IF(TEXT(Data.[[#This Row],[Periodo]],"mmm-yy")="may-26",VLOOKUP(Data.[[#This Row],[Código]],Reportería!A:BV,57,0),0)</f>
        <v>0</v>
      </c>
      <c r="AJ121" s="11"/>
      <c r="AK121" s="11"/>
      <c r="AL121" s="11">
        <f>IF(Data.[[#This Row],[Vol M0]]="",0,0)</f>
        <v>0</v>
      </c>
      <c r="AM121" s="11">
        <f>IF(Data.[[#This Row],[Vol M0]]="",0,0)</f>
        <v>0</v>
      </c>
      <c r="AN121" s="11">
        <f>IF(Data.[[#This Row],[Vol M0]]="",0,0)</f>
        <v>0</v>
      </c>
      <c r="AO121" s="11">
        <f>IF(Data.[[#This Row],[Vol M0]]="",0,0)</f>
        <v>0</v>
      </c>
      <c r="AP121" s="11">
        <f>IF(Data.[[#This Row],[Vol M0]]="",0,0)</f>
        <v>0</v>
      </c>
      <c r="AQ121" s="11">
        <f>IF(Data.[[#This Row],[Vol M0]]="",0,0)</f>
        <v>0</v>
      </c>
      <c r="AR121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22" spans="1:44" ht="14.25" customHeight="1">
      <c r="A122" s="53" t="str">
        <f>CONCATENATE(Data.[[#This Row],[Código]],Data.[[#This Row],[Ruc]])</f>
        <v>568447520612526291</v>
      </c>
      <c r="B122" s="9">
        <v>46174</v>
      </c>
      <c r="C122" s="53" t="str">
        <f>IFERROR(VLOOKUP(Data.[[#This Row],[Código LT]],Reportería.[],71,0),"")</f>
        <v/>
      </c>
      <c r="D122" s="10">
        <f>IFERROR(VLOOKUP(Data.[[#This Row],[Código]],BV!A:C,2,0),"")</f>
        <v>46189</v>
      </c>
      <c r="E122" s="10">
        <f>IFERROR(VLOOKUP(Data.[[#This Row],[Código]],BV!A:C,3,0),"")</f>
        <v>46189</v>
      </c>
      <c r="F122" s="53">
        <v>5684475</v>
      </c>
      <c r="G122" s="8" t="s">
        <v>874</v>
      </c>
      <c r="H122" s="8">
        <v>20612526291</v>
      </c>
      <c r="I122" s="8" t="s">
        <v>871</v>
      </c>
      <c r="J122" s="8" t="s">
        <v>872</v>
      </c>
      <c r="K122" s="53" t="str">
        <f>IF(Data.[[#This Row],[Tipo de Venta]]&lt;&gt;"POS","Atendido",IF(Data.[[#This Row],[Fecha de Instalación]]&lt;&gt;"","Atendido","Ingresado"))</f>
        <v>Atendido</v>
      </c>
      <c r="L122" s="53" t="str">
        <f>Data.[[#This Row],[Estado]]</f>
        <v>Atendido</v>
      </c>
      <c r="M122" s="8" t="s">
        <v>33</v>
      </c>
      <c r="N122" s="53" t="str">
        <f>IFERROR(VLOOKUP(Data.[[#This Row],[Código LT]],Reportería.[],20,0),"")</f>
        <v/>
      </c>
      <c r="O122" s="53" t="str">
        <f>IFERROR(VLOOKUP(Data.[[#This Row],[Código LT]],Reportería.[],5,0),"")</f>
        <v/>
      </c>
      <c r="P122" s="11">
        <f>Data.[[#This Row],[GPV Mensual LT]]/COUNTIFS(H:H,Data.[[#This Row],[Ruc]],B:B,Data.[[#This Row],[Periodo]])</f>
        <v>26666.666666666668</v>
      </c>
      <c r="Q122" s="11">
        <v>160000</v>
      </c>
      <c r="R122" s="8" t="s">
        <v>159</v>
      </c>
      <c r="S122" s="53" t="str">
        <f>VLOOKUP(Data.[[#This Row],[Ejecutivo]],Productividad!D:N,11,0)</f>
        <v>76524006</v>
      </c>
      <c r="T122" s="54" t="str">
        <f>VLOOKUP(Data.[[#This Row],[DNI Ejecutivo]],Productividad!C:U,8,0)</f>
        <v>jjaimesb@lozapay.com.pe</v>
      </c>
      <c r="U122" s="53" t="str">
        <f>VLOOKUP(Data.[[#This Row],[DNI Ejecutivo]],Productividad!C:U,4,0)</f>
        <v>Senior</v>
      </c>
      <c r="V122" s="53" t="str">
        <f>IFERROR(VLOOKUP(Data.[[#This Row],[DNI Ejecutivo]],Ejecutivos.[],11,0),"")</f>
        <v>Lima Palomino</v>
      </c>
      <c r="W122" s="8" t="s">
        <v>35</v>
      </c>
      <c r="X122" s="53" t="str" cm="1">
        <f t="array" ref="X122">IFERROR(_xlfn.IFS(Data.[[#This Row],[Supervisor]]="Jonathan Lapoint","Norte",Data.[[#This Row],[Supervisor]]="Jorge Fuentes","Norte"),"Lima")</f>
        <v>Lima</v>
      </c>
      <c r="Y122" s="53" t="str">
        <f>VLOOKUP(Data.[[#This Row],[Supervisor]],Ejecutivos!B:S,17,0)</f>
        <v>41718975</v>
      </c>
      <c r="Z122" s="54" t="str">
        <f>VLOOKUP(Data.[[#This Row],[DNI Supervisor]],Productividad!C:U,8,0)</f>
        <v>carlos.palomino@lozapay.com.pe</v>
      </c>
      <c r="AA122" s="8"/>
      <c r="AB122" s="8" t="s">
        <v>160</v>
      </c>
      <c r="AC122" s="53" t="str">
        <f>IFERROR(CONCATENATE(Data.[[#This Row],[DNI Ejecutivo]],Data.[[#This Row],[Periodo]]),"")</f>
        <v>7652400646174</v>
      </c>
      <c r="AD122" s="53" t="str">
        <f>IFERROR(VLOOKUP(Data.[[#This Row],[Código LT]],Reportería.[],10,0),"")</f>
        <v/>
      </c>
      <c r="AE122" s="53" t="str">
        <f>IFERROR(VLOOKUP(Data.[[#This Row],[Código LT]],Reportería.[],11,0),"")</f>
        <v/>
      </c>
      <c r="AF122" s="13">
        <f>IFERROR(VLOOKUP(Data.[[#This Row],[Código]],Reportería!A:BV,57,0),0)</f>
        <v>0</v>
      </c>
      <c r="AG122" s="13"/>
      <c r="AH122" s="13"/>
      <c r="AI122" s="11">
        <f>IF(TEXT(Data.[[#This Row],[Periodo]],"mmm-yy")="may-26",VLOOKUP(Data.[[#This Row],[Código]],Reportería!A:BV,57,0),0)</f>
        <v>0</v>
      </c>
      <c r="AJ122" s="11"/>
      <c r="AK122" s="11"/>
      <c r="AL122" s="11">
        <f>IF(Data.[[#This Row],[Vol M0]]="",0,0)</f>
        <v>0</v>
      </c>
      <c r="AM122" s="11">
        <f>IF(Data.[[#This Row],[Vol M0]]="",0,0)</f>
        <v>0</v>
      </c>
      <c r="AN122" s="11">
        <f>IF(Data.[[#This Row],[Vol M0]]="",0,0)</f>
        <v>0</v>
      </c>
      <c r="AO122" s="11">
        <f>IF(Data.[[#This Row],[Vol M0]]="",0,0)</f>
        <v>0</v>
      </c>
      <c r="AP122" s="11">
        <f>IF(Data.[[#This Row],[Vol M0]]="",0,0)</f>
        <v>0</v>
      </c>
      <c r="AQ122" s="11">
        <f>IF(Data.[[#This Row],[Vol M0]]="",0,0)</f>
        <v>0</v>
      </c>
      <c r="AR122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23" spans="1:44" ht="14.25" customHeight="1">
      <c r="A123" s="53" t="str">
        <f>CONCATENATE(Data.[[#This Row],[Código]],Data.[[#This Row],[Ruc]])</f>
        <v>568451120612526291</v>
      </c>
      <c r="B123" s="9">
        <v>46174</v>
      </c>
      <c r="C123" s="53" t="str">
        <f>IFERROR(VLOOKUP(Data.[[#This Row],[Código LT]],Reportería.[],71,0),"")</f>
        <v/>
      </c>
      <c r="D123" s="10">
        <f>IFERROR(VLOOKUP(Data.[[#This Row],[Código]],BV!A:C,2,0),"")</f>
        <v>46189</v>
      </c>
      <c r="E123" s="10">
        <f>IFERROR(VLOOKUP(Data.[[#This Row],[Código]],BV!A:C,3,0),"")</f>
        <v>46189</v>
      </c>
      <c r="F123" s="53">
        <v>5684511</v>
      </c>
      <c r="G123" s="8" t="s">
        <v>875</v>
      </c>
      <c r="H123" s="8">
        <v>20612526291</v>
      </c>
      <c r="I123" s="8" t="s">
        <v>871</v>
      </c>
      <c r="J123" s="8" t="s">
        <v>872</v>
      </c>
      <c r="K123" s="53" t="str">
        <f>IF(Data.[[#This Row],[Tipo de Venta]]&lt;&gt;"POS","Atendido",IF(Data.[[#This Row],[Fecha de Instalación]]&lt;&gt;"","Atendido","Ingresado"))</f>
        <v>Atendido</v>
      </c>
      <c r="L123" s="53" t="str">
        <f>Data.[[#This Row],[Estado]]</f>
        <v>Atendido</v>
      </c>
      <c r="M123" s="8" t="s">
        <v>33</v>
      </c>
      <c r="N123" s="53" t="str">
        <f>IFERROR(VLOOKUP(Data.[[#This Row],[Código LT]],Reportería.[],20,0),"")</f>
        <v/>
      </c>
      <c r="O123" s="53" t="str">
        <f>IFERROR(VLOOKUP(Data.[[#This Row],[Código LT]],Reportería.[],5,0),"")</f>
        <v/>
      </c>
      <c r="P123" s="11">
        <f>Data.[[#This Row],[GPV Mensual LT]]/COUNTIFS(H:H,Data.[[#This Row],[Ruc]],B:B,Data.[[#This Row],[Periodo]])</f>
        <v>26666.666666666668</v>
      </c>
      <c r="Q123" s="11">
        <v>160000</v>
      </c>
      <c r="R123" s="8" t="s">
        <v>159</v>
      </c>
      <c r="S123" s="53" t="str">
        <f>VLOOKUP(Data.[[#This Row],[Ejecutivo]],Productividad!D:N,11,0)</f>
        <v>76524006</v>
      </c>
      <c r="T123" s="54" t="str">
        <f>VLOOKUP(Data.[[#This Row],[DNI Ejecutivo]],Productividad!C:U,8,0)</f>
        <v>jjaimesb@lozapay.com.pe</v>
      </c>
      <c r="U123" s="53" t="str">
        <f>VLOOKUP(Data.[[#This Row],[DNI Ejecutivo]],Productividad!C:U,4,0)</f>
        <v>Senior</v>
      </c>
      <c r="V123" s="53" t="str">
        <f>IFERROR(VLOOKUP(Data.[[#This Row],[DNI Ejecutivo]],Ejecutivos.[],11,0),"")</f>
        <v>Lima Palomino</v>
      </c>
      <c r="W123" s="8" t="s">
        <v>35</v>
      </c>
      <c r="X123" s="53" t="str" cm="1">
        <f t="array" ref="X123">IFERROR(_xlfn.IFS(Data.[[#This Row],[Supervisor]]="Jonathan Lapoint","Norte",Data.[[#This Row],[Supervisor]]="Jorge Fuentes","Norte"),"Lima")</f>
        <v>Lima</v>
      </c>
      <c r="Y123" s="53" t="str">
        <f>VLOOKUP(Data.[[#This Row],[Supervisor]],Ejecutivos!B:S,17,0)</f>
        <v>41718975</v>
      </c>
      <c r="Z123" s="54" t="str">
        <f>VLOOKUP(Data.[[#This Row],[DNI Supervisor]],Productividad!C:U,8,0)</f>
        <v>carlos.palomino@lozapay.com.pe</v>
      </c>
      <c r="AA123" s="8"/>
      <c r="AB123" s="8" t="s">
        <v>160</v>
      </c>
      <c r="AC123" s="53" t="str">
        <f>IFERROR(CONCATENATE(Data.[[#This Row],[DNI Ejecutivo]],Data.[[#This Row],[Periodo]]),"")</f>
        <v>7652400646174</v>
      </c>
      <c r="AD123" s="53" t="str">
        <f>IFERROR(VLOOKUP(Data.[[#This Row],[Código LT]],Reportería.[],10,0),"")</f>
        <v/>
      </c>
      <c r="AE123" s="53" t="str">
        <f>IFERROR(VLOOKUP(Data.[[#This Row],[Código LT]],Reportería.[],11,0),"")</f>
        <v/>
      </c>
      <c r="AF123" s="13">
        <f>IFERROR(VLOOKUP(Data.[[#This Row],[Código]],Reportería!A:BV,57,0),0)</f>
        <v>0</v>
      </c>
      <c r="AG123" s="13"/>
      <c r="AH123" s="13"/>
      <c r="AI123" s="11">
        <f>IF(TEXT(Data.[[#This Row],[Periodo]],"mmm-yy")="may-26",VLOOKUP(Data.[[#This Row],[Código]],Reportería!A:BV,57,0),0)</f>
        <v>0</v>
      </c>
      <c r="AJ123" s="11"/>
      <c r="AK123" s="11"/>
      <c r="AL123" s="11">
        <f>IF(Data.[[#This Row],[Vol M0]]="",0,0)</f>
        <v>0</v>
      </c>
      <c r="AM123" s="11">
        <f>IF(Data.[[#This Row],[Vol M0]]="",0,0)</f>
        <v>0</v>
      </c>
      <c r="AN123" s="11">
        <f>IF(Data.[[#This Row],[Vol M0]]="",0,0)</f>
        <v>0</v>
      </c>
      <c r="AO123" s="11">
        <f>IF(Data.[[#This Row],[Vol M0]]="",0,0)</f>
        <v>0</v>
      </c>
      <c r="AP123" s="11">
        <f>IF(Data.[[#This Row],[Vol M0]]="",0,0)</f>
        <v>0</v>
      </c>
      <c r="AQ123" s="11">
        <f>IF(Data.[[#This Row],[Vol M0]]="",0,0)</f>
        <v>0</v>
      </c>
      <c r="AR123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24" spans="1:44" ht="14.25" customHeight="1">
      <c r="A124" s="53" t="str">
        <f>CONCATENATE(Data.[[#This Row],[Código]],Data.[[#This Row],[Ruc]])</f>
        <v>568451920612526291</v>
      </c>
      <c r="B124" s="9">
        <v>46174</v>
      </c>
      <c r="C124" s="53" t="str">
        <f>IFERROR(VLOOKUP(Data.[[#This Row],[Código LT]],Reportería.[],71,0),"")</f>
        <v/>
      </c>
      <c r="D124" s="10">
        <f>IFERROR(VLOOKUP(Data.[[#This Row],[Código]],BV!A:C,2,0),"")</f>
        <v>46189</v>
      </c>
      <c r="E124" s="10">
        <f>IFERROR(VLOOKUP(Data.[[#This Row],[Código]],BV!A:C,3,0),"")</f>
        <v>46189</v>
      </c>
      <c r="F124" s="53">
        <v>5684519</v>
      </c>
      <c r="G124" s="8" t="s">
        <v>876</v>
      </c>
      <c r="H124" s="8">
        <v>20612526291</v>
      </c>
      <c r="I124" s="8" t="s">
        <v>871</v>
      </c>
      <c r="J124" s="8" t="s">
        <v>872</v>
      </c>
      <c r="K124" s="53" t="str">
        <f>IF(Data.[[#This Row],[Tipo de Venta]]&lt;&gt;"POS","Atendido",IF(Data.[[#This Row],[Fecha de Instalación]]&lt;&gt;"","Atendido","Ingresado"))</f>
        <v>Atendido</v>
      </c>
      <c r="L124" s="53" t="str">
        <f>Data.[[#This Row],[Estado]]</f>
        <v>Atendido</v>
      </c>
      <c r="M124" s="8" t="s">
        <v>33</v>
      </c>
      <c r="N124" s="53" t="str">
        <f>IFERROR(VLOOKUP(Data.[[#This Row],[Código LT]],Reportería.[],20,0),"")</f>
        <v/>
      </c>
      <c r="O124" s="53" t="str">
        <f>IFERROR(VLOOKUP(Data.[[#This Row],[Código LT]],Reportería.[],5,0),"")</f>
        <v/>
      </c>
      <c r="P124" s="11">
        <f>Data.[[#This Row],[GPV Mensual LT]]/COUNTIFS(H:H,Data.[[#This Row],[Ruc]],B:B,Data.[[#This Row],[Periodo]])</f>
        <v>26666.666666666668</v>
      </c>
      <c r="Q124" s="11">
        <v>160000</v>
      </c>
      <c r="R124" s="8" t="s">
        <v>159</v>
      </c>
      <c r="S124" s="53" t="str">
        <f>VLOOKUP(Data.[[#This Row],[Ejecutivo]],Productividad!D:N,11,0)</f>
        <v>76524006</v>
      </c>
      <c r="T124" s="54" t="str">
        <f>VLOOKUP(Data.[[#This Row],[DNI Ejecutivo]],Productividad!C:U,8,0)</f>
        <v>jjaimesb@lozapay.com.pe</v>
      </c>
      <c r="U124" s="53" t="str">
        <f>VLOOKUP(Data.[[#This Row],[DNI Ejecutivo]],Productividad!C:U,4,0)</f>
        <v>Senior</v>
      </c>
      <c r="V124" s="53" t="str">
        <f>IFERROR(VLOOKUP(Data.[[#This Row],[DNI Ejecutivo]],Ejecutivos.[],11,0),"")</f>
        <v>Lima Palomino</v>
      </c>
      <c r="W124" s="8" t="s">
        <v>35</v>
      </c>
      <c r="X124" s="53" t="str" cm="1">
        <f t="array" ref="X124">IFERROR(_xlfn.IFS(Data.[[#This Row],[Supervisor]]="Jonathan Lapoint","Norte",Data.[[#This Row],[Supervisor]]="Jorge Fuentes","Norte"),"Lima")</f>
        <v>Lima</v>
      </c>
      <c r="Y124" s="53" t="str">
        <f>VLOOKUP(Data.[[#This Row],[Supervisor]],Ejecutivos!B:S,17,0)</f>
        <v>41718975</v>
      </c>
      <c r="Z124" s="54" t="str">
        <f>VLOOKUP(Data.[[#This Row],[DNI Supervisor]],Productividad!C:U,8,0)</f>
        <v>carlos.palomino@lozapay.com.pe</v>
      </c>
      <c r="AA124" s="8"/>
      <c r="AB124" s="8" t="s">
        <v>160</v>
      </c>
      <c r="AC124" s="53" t="str">
        <f>IFERROR(CONCATENATE(Data.[[#This Row],[DNI Ejecutivo]],Data.[[#This Row],[Periodo]]),"")</f>
        <v>7652400646174</v>
      </c>
      <c r="AD124" s="53" t="str">
        <f>IFERROR(VLOOKUP(Data.[[#This Row],[Código LT]],Reportería.[],10,0),"")</f>
        <v/>
      </c>
      <c r="AE124" s="53" t="str">
        <f>IFERROR(VLOOKUP(Data.[[#This Row],[Código LT]],Reportería.[],11,0),"")</f>
        <v/>
      </c>
      <c r="AF124" s="13">
        <f>IFERROR(VLOOKUP(Data.[[#This Row],[Código]],Reportería!A:BV,57,0),0)</f>
        <v>0</v>
      </c>
      <c r="AG124" s="13"/>
      <c r="AH124" s="13"/>
      <c r="AI124" s="11">
        <f>IF(TEXT(Data.[[#This Row],[Periodo]],"mmm-yy")="may-26",VLOOKUP(Data.[[#This Row],[Código]],Reportería!A:BV,57,0),0)</f>
        <v>0</v>
      </c>
      <c r="AJ124" s="11"/>
      <c r="AK124" s="11"/>
      <c r="AL124" s="11">
        <f>IF(Data.[[#This Row],[Vol M0]]="",0,0)</f>
        <v>0</v>
      </c>
      <c r="AM124" s="11">
        <f>IF(Data.[[#This Row],[Vol M0]]="",0,0)</f>
        <v>0</v>
      </c>
      <c r="AN124" s="11">
        <f>IF(Data.[[#This Row],[Vol M0]]="",0,0)</f>
        <v>0</v>
      </c>
      <c r="AO124" s="11">
        <f>IF(Data.[[#This Row],[Vol M0]]="",0,0)</f>
        <v>0</v>
      </c>
      <c r="AP124" s="11">
        <f>IF(Data.[[#This Row],[Vol M0]]="",0,0)</f>
        <v>0</v>
      </c>
      <c r="AQ124" s="11">
        <f>IF(Data.[[#This Row],[Vol M0]]="",0,0)</f>
        <v>0</v>
      </c>
      <c r="AR124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25" spans="1:44" ht="14.25" customHeight="1">
      <c r="A125" s="53" t="str">
        <f>CONCATENATE(Data.[[#This Row],[Código]],Data.[[#This Row],[Ruc]])</f>
        <v>568556320612526291</v>
      </c>
      <c r="B125" s="9">
        <v>46174</v>
      </c>
      <c r="C125" s="53" t="str">
        <f>IFERROR(VLOOKUP(Data.[[#This Row],[Código LT]],Reportería.[],71,0),"")</f>
        <v/>
      </c>
      <c r="D125" s="10">
        <f>IFERROR(VLOOKUP(Data.[[#This Row],[Código]],BV!A:C,2,0),"")</f>
        <v>46189</v>
      </c>
      <c r="E125" s="10">
        <f>IFERROR(VLOOKUP(Data.[[#This Row],[Código]],BV!A:C,3,0),"")</f>
        <v>46189</v>
      </c>
      <c r="F125" s="53">
        <v>5685563</v>
      </c>
      <c r="G125" s="8" t="s">
        <v>877</v>
      </c>
      <c r="H125" s="8">
        <v>20612526291</v>
      </c>
      <c r="I125" s="8" t="s">
        <v>871</v>
      </c>
      <c r="J125" s="8" t="s">
        <v>872</v>
      </c>
      <c r="K125" s="53" t="str">
        <f>IF(Data.[[#This Row],[Tipo de Venta]]&lt;&gt;"POS","Atendido",IF(Data.[[#This Row],[Fecha de Instalación]]&lt;&gt;"","Atendido","Ingresado"))</f>
        <v>Atendido</v>
      </c>
      <c r="L125" s="53" t="str">
        <f>Data.[[#This Row],[Estado]]</f>
        <v>Atendido</v>
      </c>
      <c r="M125" s="8" t="s">
        <v>33</v>
      </c>
      <c r="N125" s="53" t="str">
        <f>IFERROR(VLOOKUP(Data.[[#This Row],[Código LT]],Reportería.[],20,0),"")</f>
        <v/>
      </c>
      <c r="O125" s="53" t="str">
        <f>IFERROR(VLOOKUP(Data.[[#This Row],[Código LT]],Reportería.[],5,0),"")</f>
        <v/>
      </c>
      <c r="P125" s="11">
        <f>Data.[[#This Row],[GPV Mensual LT]]/COUNTIFS(H:H,Data.[[#This Row],[Ruc]],B:B,Data.[[#This Row],[Periodo]])</f>
        <v>26666.666666666668</v>
      </c>
      <c r="Q125" s="11">
        <v>160000</v>
      </c>
      <c r="R125" s="8" t="s">
        <v>159</v>
      </c>
      <c r="S125" s="53" t="str">
        <f>VLOOKUP(Data.[[#This Row],[Ejecutivo]],Productividad!D:N,11,0)</f>
        <v>76524006</v>
      </c>
      <c r="T125" s="54" t="str">
        <f>VLOOKUP(Data.[[#This Row],[DNI Ejecutivo]],Productividad!C:U,8,0)</f>
        <v>jjaimesb@lozapay.com.pe</v>
      </c>
      <c r="U125" s="53" t="str">
        <f>VLOOKUP(Data.[[#This Row],[DNI Ejecutivo]],Productividad!C:U,4,0)</f>
        <v>Senior</v>
      </c>
      <c r="V125" s="53" t="str">
        <f>IFERROR(VLOOKUP(Data.[[#This Row],[DNI Ejecutivo]],Ejecutivos.[],11,0),"")</f>
        <v>Lima Palomino</v>
      </c>
      <c r="W125" s="8" t="s">
        <v>35</v>
      </c>
      <c r="X125" s="53" t="str" cm="1">
        <f t="array" ref="X125">IFERROR(_xlfn.IFS(Data.[[#This Row],[Supervisor]]="Jonathan Lapoint","Norte",Data.[[#This Row],[Supervisor]]="Jorge Fuentes","Norte"),"Lima")</f>
        <v>Lima</v>
      </c>
      <c r="Y125" s="53" t="str">
        <f>VLOOKUP(Data.[[#This Row],[Supervisor]],Ejecutivos!B:S,17,0)</f>
        <v>41718975</v>
      </c>
      <c r="Z125" s="54" t="str">
        <f>VLOOKUP(Data.[[#This Row],[DNI Supervisor]],Productividad!C:U,8,0)</f>
        <v>carlos.palomino@lozapay.com.pe</v>
      </c>
      <c r="AA125" s="8"/>
      <c r="AB125" s="8" t="s">
        <v>160</v>
      </c>
      <c r="AC125" s="53" t="str">
        <f>IFERROR(CONCATENATE(Data.[[#This Row],[DNI Ejecutivo]],Data.[[#This Row],[Periodo]]),"")</f>
        <v>7652400646174</v>
      </c>
      <c r="AD125" s="53" t="str">
        <f>IFERROR(VLOOKUP(Data.[[#This Row],[Código LT]],Reportería.[],10,0),"")</f>
        <v/>
      </c>
      <c r="AE125" s="53" t="str">
        <f>IFERROR(VLOOKUP(Data.[[#This Row],[Código LT]],Reportería.[],11,0),"")</f>
        <v/>
      </c>
      <c r="AF125" s="13">
        <f>IFERROR(VLOOKUP(Data.[[#This Row],[Código]],Reportería!A:BV,57,0),0)</f>
        <v>0</v>
      </c>
      <c r="AG125" s="13"/>
      <c r="AH125" s="13"/>
      <c r="AI125" s="11">
        <f>IF(TEXT(Data.[[#This Row],[Periodo]],"mmm-yy")="may-26",VLOOKUP(Data.[[#This Row],[Código]],Reportería!A:BV,57,0),0)</f>
        <v>0</v>
      </c>
      <c r="AJ125" s="11"/>
      <c r="AK125" s="11"/>
      <c r="AL125" s="11">
        <f>IF(Data.[[#This Row],[Vol M0]]="",0,0)</f>
        <v>0</v>
      </c>
      <c r="AM125" s="11">
        <f>IF(Data.[[#This Row],[Vol M0]]="",0,0)</f>
        <v>0</v>
      </c>
      <c r="AN125" s="11">
        <f>IF(Data.[[#This Row],[Vol M0]]="",0,0)</f>
        <v>0</v>
      </c>
      <c r="AO125" s="11">
        <f>IF(Data.[[#This Row],[Vol M0]]="",0,0)</f>
        <v>0</v>
      </c>
      <c r="AP125" s="11">
        <f>IF(Data.[[#This Row],[Vol M0]]="",0,0)</f>
        <v>0</v>
      </c>
      <c r="AQ125" s="11">
        <f>IF(Data.[[#This Row],[Vol M0]]="",0,0)</f>
        <v>0</v>
      </c>
      <c r="AR125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26" spans="1:44" ht="14.25" customHeight="1">
      <c r="A126" s="53" t="str">
        <f>CONCATENATE(Data.[[#This Row],[Código]],Data.[[#This Row],[Ruc]])</f>
        <v>596065920615813410</v>
      </c>
      <c r="B126" s="9">
        <v>46174</v>
      </c>
      <c r="C126" s="53" t="str">
        <f>IFERROR(VLOOKUP(Data.[[#This Row],[Código LT]],Reportería.[],71,0),"")</f>
        <v/>
      </c>
      <c r="D126" s="10">
        <f>IFERROR(VLOOKUP(Data.[[#This Row],[Código]],BV!A:C,2,0),"")</f>
        <v>46189</v>
      </c>
      <c r="E126" s="10">
        <f>IFERROR(VLOOKUP(Data.[[#This Row],[Código]],BV!A:C,3,0),"")</f>
        <v>46191</v>
      </c>
      <c r="F126" s="53">
        <v>5960659</v>
      </c>
      <c r="G126" s="8"/>
      <c r="H126" s="8">
        <v>20615813410</v>
      </c>
      <c r="I126" s="8" t="s">
        <v>878</v>
      </c>
      <c r="J126" s="8" t="s">
        <v>879</v>
      </c>
      <c r="K126" s="53" t="str">
        <f>IF(Data.[[#This Row],[Tipo de Venta]]&lt;&gt;"POS","Atendido",IF(Data.[[#This Row],[Fecha de Instalación]]&lt;&gt;"","Atendido","Ingresado"))</f>
        <v>Atendido</v>
      </c>
      <c r="L126" s="53" t="str">
        <f>Data.[[#This Row],[Estado]]</f>
        <v>Atendido</v>
      </c>
      <c r="M126" s="8" t="s">
        <v>561</v>
      </c>
      <c r="N126" s="53" t="str">
        <f>IFERROR(VLOOKUP(Data.[[#This Row],[Código LT]],Reportería.[],20,0),"")</f>
        <v/>
      </c>
      <c r="O126" s="53" t="str">
        <f>IFERROR(VLOOKUP(Data.[[#This Row],[Código LT]],Reportería.[],5,0),"")</f>
        <v/>
      </c>
      <c r="P126" s="11">
        <f>Data.[[#This Row],[GPV Mensual LT]]/COUNTIFS(H:H,Data.[[#This Row],[Ruc]],B:B,Data.[[#This Row],[Periodo]])</f>
        <v>27000</v>
      </c>
      <c r="Q126" s="11">
        <v>27000</v>
      </c>
      <c r="R126" s="8" t="s">
        <v>86</v>
      </c>
      <c r="S126" s="53" t="str">
        <f>VLOOKUP(Data.[[#This Row],[Ejecutivo]],Productividad!D:N,11,0)</f>
        <v>77016095</v>
      </c>
      <c r="T126" s="54" t="str">
        <f>VLOOKUP(Data.[[#This Row],[DNI Ejecutivo]],Productividad!C:U,8,0)</f>
        <v>nelly.delpino@lozapay.com.pe</v>
      </c>
      <c r="U126" s="53" t="str">
        <f>VLOOKUP(Data.[[#This Row],[DNI Ejecutivo]],Productividad!C:U,4,0)</f>
        <v>Hunter</v>
      </c>
      <c r="V126" s="53" t="str">
        <f>IFERROR(VLOOKUP(Data.[[#This Row],[DNI Ejecutivo]],Ejecutivos.[],11,0),"")</f>
        <v>Lima Jean</v>
      </c>
      <c r="W126" s="8" t="s">
        <v>64</v>
      </c>
      <c r="X126" s="53" t="str" cm="1">
        <f t="array" ref="X126">IFERROR(_xlfn.IFS(Data.[[#This Row],[Supervisor]]="Jonathan Lapoint","Norte",Data.[[#This Row],[Supervisor]]="Jorge Fuentes","Norte"),"Lima")</f>
        <v>Lima</v>
      </c>
      <c r="Y126" s="53" t="str">
        <f>VLOOKUP(Data.[[#This Row],[Supervisor]],Ejecutivos!B:S,17,0)</f>
        <v>47688341</v>
      </c>
      <c r="Z126" s="54" t="str">
        <f>VLOOKUP(Data.[[#This Row],[DNI Supervisor]],Productividad!C:U,8,0)</f>
        <v>jaguilar@lozapay.com.pe</v>
      </c>
      <c r="AA126" s="8"/>
      <c r="AB126" s="8" t="s">
        <v>87</v>
      </c>
      <c r="AC126" s="53" t="str">
        <f>IFERROR(CONCATENATE(Data.[[#This Row],[DNI Ejecutivo]],Data.[[#This Row],[Periodo]]),"")</f>
        <v>7701609546174</v>
      </c>
      <c r="AD126" s="53" t="str">
        <f>IFERROR(VLOOKUP(Data.[[#This Row],[Código LT]],Reportería.[],10,0),"")</f>
        <v/>
      </c>
      <c r="AE126" s="53" t="str">
        <f>IFERROR(VLOOKUP(Data.[[#This Row],[Código LT]],Reportería.[],11,0),"")</f>
        <v/>
      </c>
      <c r="AF126" s="13">
        <f>IFERROR(VLOOKUP(Data.[[#This Row],[Código]],Reportería!A:BV,57,0),0)</f>
        <v>0</v>
      </c>
      <c r="AG126" s="13"/>
      <c r="AH126" s="13"/>
      <c r="AI126" s="11">
        <f>IF(TEXT(Data.[[#This Row],[Periodo]],"mmm-yy")="may-26",VLOOKUP(Data.[[#This Row],[Código]],Reportería!A:BV,57,0),0)</f>
        <v>0</v>
      </c>
      <c r="AJ126" s="11"/>
      <c r="AK126" s="11"/>
      <c r="AL126" s="11">
        <f>IF(Data.[[#This Row],[Vol M0]]="",0,0)</f>
        <v>0</v>
      </c>
      <c r="AM126" s="11">
        <f>IF(Data.[[#This Row],[Vol M0]]="",0,0)</f>
        <v>0</v>
      </c>
      <c r="AN126" s="11">
        <f>IF(Data.[[#This Row],[Vol M0]]="",0,0)</f>
        <v>0</v>
      </c>
      <c r="AO126" s="11">
        <f>IF(Data.[[#This Row],[Vol M0]]="",0,0)</f>
        <v>0</v>
      </c>
      <c r="AP126" s="11">
        <f>IF(Data.[[#This Row],[Vol M0]]="",0,0)</f>
        <v>0</v>
      </c>
      <c r="AQ126" s="11">
        <f>IF(Data.[[#This Row],[Vol M0]]="",0,0)</f>
        <v>0</v>
      </c>
      <c r="AR126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27" spans="1:44" ht="14.25" customHeight="1">
      <c r="A127" s="53" t="str">
        <f>CONCATENATE(Data.[[#This Row],[Código]],Data.[[#This Row],[Ruc]])</f>
        <v>596071920535913294</v>
      </c>
      <c r="B127" s="9">
        <v>46174</v>
      </c>
      <c r="C127" s="53" t="str">
        <f>IFERROR(VLOOKUP(Data.[[#This Row],[Código LT]],Reportería.[],71,0),"")</f>
        <v/>
      </c>
      <c r="D127" s="10">
        <f>IFERROR(VLOOKUP(Data.[[#This Row],[Código]],BV!A:C,2,0),"")</f>
        <v>46189</v>
      </c>
      <c r="E127" s="10">
        <f>IFERROR(VLOOKUP(Data.[[#This Row],[Código]],BV!A:C,3,0),"")</f>
        <v>46190</v>
      </c>
      <c r="F127" s="53">
        <v>5960719</v>
      </c>
      <c r="G127" s="8" t="s">
        <v>880</v>
      </c>
      <c r="H127" s="8">
        <v>20535913294</v>
      </c>
      <c r="I127" s="8" t="s">
        <v>881</v>
      </c>
      <c r="J127" s="8" t="s">
        <v>882</v>
      </c>
      <c r="K127" s="53" t="str">
        <f>IF(Data.[[#This Row],[Tipo de Venta]]&lt;&gt;"POS","Atendido",IF(Data.[[#This Row],[Fecha de Instalación]]&lt;&gt;"","Atendido","Ingresado"))</f>
        <v>Atendido</v>
      </c>
      <c r="L127" s="53" t="str">
        <f>Data.[[#This Row],[Estado]]</f>
        <v>Atendido</v>
      </c>
      <c r="M127" s="8" t="s">
        <v>33</v>
      </c>
      <c r="N127" s="53" t="str">
        <f>IFERROR(VLOOKUP(Data.[[#This Row],[Código LT]],Reportería.[],20,0),"")</f>
        <v/>
      </c>
      <c r="O127" s="53" t="str">
        <f>IFERROR(VLOOKUP(Data.[[#This Row],[Código LT]],Reportería.[],5,0),"")</f>
        <v/>
      </c>
      <c r="P127" s="11">
        <f>Data.[[#This Row],[GPV Mensual LT]]/COUNTIFS(H:H,Data.[[#This Row],[Ruc]],B:B,Data.[[#This Row],[Periodo]])</f>
        <v>25000</v>
      </c>
      <c r="Q127" s="11">
        <v>50000</v>
      </c>
      <c r="R127" s="8" t="s">
        <v>208</v>
      </c>
      <c r="S127" s="53" t="str">
        <f>VLOOKUP(Data.[[#This Row],[Ejecutivo]],Productividad!D:N,11,0)</f>
        <v>40610358</v>
      </c>
      <c r="T127" s="54" t="str">
        <f>VLOOKUP(Data.[[#This Row],[DNI Ejecutivo]],Productividad!C:U,8,0)</f>
        <v>najaramar@lozapay.com.pe</v>
      </c>
      <c r="U127" s="53" t="str">
        <f>VLOOKUP(Data.[[#This Row],[DNI Ejecutivo]],Productividad!C:U,4,0)</f>
        <v>Hunter</v>
      </c>
      <c r="V127" s="53" t="str">
        <f>IFERROR(VLOOKUP(Data.[[#This Row],[DNI Ejecutivo]],Ejecutivos.[],11,0),"")</f>
        <v>Lima Hamm</v>
      </c>
      <c r="W127" s="8" t="s">
        <v>48</v>
      </c>
      <c r="X127" s="53" t="str" cm="1">
        <f t="array" ref="X127">IFERROR(_xlfn.IFS(Data.[[#This Row],[Supervisor]]="Jonathan Lapoint","Norte",Data.[[#This Row],[Supervisor]]="Jorge Fuentes","Norte"),"Lima")</f>
        <v>Lima</v>
      </c>
      <c r="Y127" s="53" t="str">
        <f>VLOOKUP(Data.[[#This Row],[Supervisor]],Ejecutivos!B:S,17,0)</f>
        <v>44818200</v>
      </c>
      <c r="Z127" s="54" t="str">
        <f>VLOOKUP(Data.[[#This Row],[DNI Supervisor]],Productividad!C:U,8,0)</f>
        <v>hramirezp@lozapay.com.pe</v>
      </c>
      <c r="AA127" s="8"/>
      <c r="AB127" s="8" t="s">
        <v>209</v>
      </c>
      <c r="AC127" s="53" t="str">
        <f>IFERROR(CONCATENATE(Data.[[#This Row],[DNI Ejecutivo]],Data.[[#This Row],[Periodo]]),"")</f>
        <v>4061035846174</v>
      </c>
      <c r="AD127" s="53" t="str">
        <f>IFERROR(VLOOKUP(Data.[[#This Row],[Código LT]],Reportería.[],10,0),"")</f>
        <v/>
      </c>
      <c r="AE127" s="53" t="str">
        <f>IFERROR(VLOOKUP(Data.[[#This Row],[Código LT]],Reportería.[],11,0),"")</f>
        <v/>
      </c>
      <c r="AF127" s="13">
        <f>IFERROR(VLOOKUP(Data.[[#This Row],[Código]],Reportería!A:BV,57,0),0)</f>
        <v>0</v>
      </c>
      <c r="AG127" s="13"/>
      <c r="AH127" s="13"/>
      <c r="AI127" s="11">
        <f>IF(TEXT(Data.[[#This Row],[Periodo]],"mmm-yy")="may-26",VLOOKUP(Data.[[#This Row],[Código]],Reportería!A:BV,57,0),0)</f>
        <v>0</v>
      </c>
      <c r="AJ127" s="11"/>
      <c r="AK127" s="11"/>
      <c r="AL127" s="11">
        <f>IF(Data.[[#This Row],[Vol M0]]="",0,0)</f>
        <v>0</v>
      </c>
      <c r="AM127" s="11">
        <f>IF(Data.[[#This Row],[Vol M0]]="",0,0)</f>
        <v>0</v>
      </c>
      <c r="AN127" s="11">
        <f>IF(Data.[[#This Row],[Vol M0]]="",0,0)</f>
        <v>0</v>
      </c>
      <c r="AO127" s="11">
        <f>IF(Data.[[#This Row],[Vol M0]]="",0,0)</f>
        <v>0</v>
      </c>
      <c r="AP127" s="11">
        <f>IF(Data.[[#This Row],[Vol M0]]="",0,0)</f>
        <v>0</v>
      </c>
      <c r="AQ127" s="11">
        <f>IF(Data.[[#This Row],[Vol M0]]="",0,0)</f>
        <v>0</v>
      </c>
      <c r="AR127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28" spans="1:44" ht="14.25" customHeight="1">
      <c r="A128" s="55" t="str">
        <f>CONCATENATE(Data.[[#This Row],[Código]],Data.[[#This Row],[Ruc]])</f>
        <v>596072520535913294</v>
      </c>
      <c r="B128" s="9">
        <v>46174</v>
      </c>
      <c r="C128" s="55" t="str">
        <f>IFERROR(VLOOKUP(Data.[[#This Row],[Código LT]],Reportería.[],71,0),"")</f>
        <v/>
      </c>
      <c r="D128" s="52">
        <f>IFERROR(VLOOKUP(Data.[[#This Row],[Código]],BV!A:C,2,0),"")</f>
        <v>46189</v>
      </c>
      <c r="E128" s="52">
        <f>IFERROR(VLOOKUP(Data.[[#This Row],[Código]],BV!A:C,3,0),"")</f>
        <v>46190</v>
      </c>
      <c r="F128" s="55">
        <v>5960725</v>
      </c>
      <c r="G128" s="12" t="s">
        <v>883</v>
      </c>
      <c r="H128" s="12">
        <v>20535913294</v>
      </c>
      <c r="I128" s="12" t="s">
        <v>881</v>
      </c>
      <c r="J128" s="12" t="s">
        <v>882</v>
      </c>
      <c r="K128" s="55" t="str">
        <f>IF(Data.[[#This Row],[Tipo de Venta]]&lt;&gt;"POS","Atendido",IF(Data.[[#This Row],[Fecha de Instalación]]&lt;&gt;"","Atendido","Ingresado"))</f>
        <v>Atendido</v>
      </c>
      <c r="L128" s="55" t="str">
        <f>Data.[[#This Row],[Estado]]</f>
        <v>Atendido</v>
      </c>
      <c r="M128" s="8" t="s">
        <v>33</v>
      </c>
      <c r="N128" s="55" t="str">
        <f>IFERROR(VLOOKUP(Data.[[#This Row],[Código LT]],Reportería.[],20,0),"")</f>
        <v/>
      </c>
      <c r="O128" s="55" t="str">
        <f>IFERROR(VLOOKUP(Data.[[#This Row],[Código LT]],Reportería.[],5,0),"")</f>
        <v/>
      </c>
      <c r="P128" s="13">
        <f>Data.[[#This Row],[GPV Mensual LT]]/COUNTIFS(H:H,Data.[[#This Row],[Ruc]],B:B,Data.[[#This Row],[Periodo]])</f>
        <v>25000</v>
      </c>
      <c r="Q128" s="13">
        <v>50000</v>
      </c>
      <c r="R128" s="12" t="s">
        <v>208</v>
      </c>
      <c r="S128" s="55" t="str">
        <f>VLOOKUP(Data.[[#This Row],[Ejecutivo]],Productividad!D:N,11,0)</f>
        <v>40610358</v>
      </c>
      <c r="T128" s="56" t="str">
        <f>VLOOKUP(Data.[[#This Row],[DNI Ejecutivo]],Productividad!C:U,8,0)</f>
        <v>najaramar@lozapay.com.pe</v>
      </c>
      <c r="U128" s="55" t="str">
        <f>VLOOKUP(Data.[[#This Row],[DNI Ejecutivo]],Productividad!C:U,4,0)</f>
        <v>Hunter</v>
      </c>
      <c r="V128" s="55" t="str">
        <f>IFERROR(VLOOKUP(Data.[[#This Row],[DNI Ejecutivo]],Ejecutivos.[],11,0),"")</f>
        <v>Lima Hamm</v>
      </c>
      <c r="W128" s="12" t="s">
        <v>48</v>
      </c>
      <c r="X128" s="55" t="str" cm="1">
        <f t="array" ref="X128">IFERROR(_xlfn.IFS(Data.[[#This Row],[Supervisor]]="Jonathan Lapoint","Norte",Data.[[#This Row],[Supervisor]]="Jorge Fuentes","Norte"),"Lima")</f>
        <v>Lima</v>
      </c>
      <c r="Y128" s="55" t="str">
        <f>VLOOKUP(Data.[[#This Row],[Supervisor]],Ejecutivos!B:S,17,0)</f>
        <v>44818200</v>
      </c>
      <c r="Z128" s="56" t="str">
        <f>VLOOKUP(Data.[[#This Row],[DNI Supervisor]],Productividad!C:U,8,0)</f>
        <v>hramirezp@lozapay.com.pe</v>
      </c>
      <c r="AA128" s="12"/>
      <c r="AB128" s="12" t="s">
        <v>209</v>
      </c>
      <c r="AC128" s="55" t="str">
        <f>IFERROR(CONCATENATE(Data.[[#This Row],[DNI Ejecutivo]],Data.[[#This Row],[Periodo]]),"")</f>
        <v>4061035846174</v>
      </c>
      <c r="AD128" s="55" t="str">
        <f>IFERROR(VLOOKUP(Data.[[#This Row],[Código LT]],Reportería.[],10,0),"")</f>
        <v/>
      </c>
      <c r="AE128" s="55" t="str">
        <f>IFERROR(VLOOKUP(Data.[[#This Row],[Código LT]],Reportería.[],11,0),"")</f>
        <v/>
      </c>
      <c r="AF128" s="13">
        <f>IFERROR(VLOOKUP(Data.[[#This Row],[Código]],Reportería!A:BV,57,0),0)</f>
        <v>0</v>
      </c>
      <c r="AG128" s="13"/>
      <c r="AH128" s="13"/>
      <c r="AI128" s="13">
        <f>IF(TEXT(Data.[[#This Row],[Periodo]],"mmm-yy")="may-26",VLOOKUP(Data.[[#This Row],[Código]],Reportería!A:BV,57,0),0)</f>
        <v>0</v>
      </c>
      <c r="AJ128" s="13"/>
      <c r="AK128" s="13"/>
      <c r="AL128" s="13">
        <f>IF(Data.[[#This Row],[Vol M0]]="",0,0)</f>
        <v>0</v>
      </c>
      <c r="AM128" s="13">
        <f>IF(Data.[[#This Row],[Vol M0]]="",0,0)</f>
        <v>0</v>
      </c>
      <c r="AN128" s="13">
        <f>IF(Data.[[#This Row],[Vol M0]]="",0,0)</f>
        <v>0</v>
      </c>
      <c r="AO128" s="13">
        <f>IF(Data.[[#This Row],[Vol M0]]="",0,0)</f>
        <v>0</v>
      </c>
      <c r="AP128" s="13">
        <f>IF(Data.[[#This Row],[Vol M0]]="",0,0)</f>
        <v>0</v>
      </c>
      <c r="AQ128" s="13">
        <f>IF(Data.[[#This Row],[Vol M0]]="",0,0)</f>
        <v>0</v>
      </c>
      <c r="AR128" s="13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29" spans="1:44" ht="14.25" customHeight="1">
      <c r="A129" s="53" t="str">
        <f>CONCATENATE(Data.[[#This Row],[Código]],Data.[[#This Row],[Ruc]])</f>
        <v>20613702629</v>
      </c>
      <c r="B129" s="9">
        <v>46174</v>
      </c>
      <c r="C129" s="53" t="str">
        <f>IFERROR(VLOOKUP(Data.[[#This Row],[Código LT]],Reportería.[],71,0),"")</f>
        <v/>
      </c>
      <c r="D129" s="10" t="str">
        <f>IFERROR(VLOOKUP(Data.[[#This Row],[Código]],BV!A:C,2,0),"")</f>
        <v/>
      </c>
      <c r="E129" s="10" t="str">
        <f>IFERROR(VLOOKUP(Data.[[#This Row],[Código]],BV!A:C,3,0),"")</f>
        <v/>
      </c>
      <c r="F129" s="53"/>
      <c r="G129" s="8"/>
      <c r="H129" s="8">
        <v>20613702629</v>
      </c>
      <c r="I129" s="8" t="s">
        <v>616</v>
      </c>
      <c r="J129" s="8" t="s">
        <v>617</v>
      </c>
      <c r="K129" s="53" t="str">
        <f>IF(Data.[[#This Row],[Tipo de Venta]]&lt;&gt;"POS","Atendido",IF(Data.[[#This Row],[Fecha de Instalación]]&lt;&gt;"","Atendido","Ingresado"))</f>
        <v>Atendido</v>
      </c>
      <c r="L129" s="53" t="str">
        <f>Data.[[#This Row],[Estado]]</f>
        <v>Atendido</v>
      </c>
      <c r="M129" s="53" t="s">
        <v>619</v>
      </c>
      <c r="N129" s="53" t="str">
        <f>IFERROR(VLOOKUP(Data.[[#This Row],[Código LT]],Reportería.[],20,0),"")</f>
        <v/>
      </c>
      <c r="O129" s="53" t="str">
        <f>IFERROR(VLOOKUP(Data.[[#This Row],[Código LT]],Reportería.[],5,0),"")</f>
        <v/>
      </c>
      <c r="P129" s="11">
        <f>Data.[[#This Row],[GPV Mensual LT]]/COUNTIFS(H:H,Data.[[#This Row],[Ruc]],B:B,Data.[[#This Row],[Periodo]])</f>
        <v>15000</v>
      </c>
      <c r="Q129" s="11">
        <v>15000</v>
      </c>
      <c r="R129" s="8" t="s">
        <v>86</v>
      </c>
      <c r="S129" s="53" t="str">
        <f>VLOOKUP(Data.[[#This Row],[Ejecutivo]],Productividad!D:N,11,0)</f>
        <v>77016095</v>
      </c>
      <c r="T129" s="54" t="str">
        <f>VLOOKUP(Data.[[#This Row],[DNI Ejecutivo]],Productividad!C:U,8,0)</f>
        <v>nelly.delpino@lozapay.com.pe</v>
      </c>
      <c r="U129" s="53" t="str">
        <f>VLOOKUP(Data.[[#This Row],[DNI Ejecutivo]],Productividad!C:U,4,0)</f>
        <v>Hunter</v>
      </c>
      <c r="V129" s="53" t="str">
        <f>IFERROR(VLOOKUP(Data.[[#This Row],[DNI Ejecutivo]],Ejecutivos.[],11,0),"")</f>
        <v>Lima Jean</v>
      </c>
      <c r="W129" s="8" t="s">
        <v>64</v>
      </c>
      <c r="X129" s="53" t="str" cm="1">
        <f t="array" ref="X129">IFERROR(_xlfn.IFS(Data.[[#This Row],[Supervisor]]="Jonathan Lapoint","Norte",Data.[[#This Row],[Supervisor]]="Jorge Fuentes","Norte"),"Lima")</f>
        <v>Lima</v>
      </c>
      <c r="Y129" s="53" t="str">
        <f>VLOOKUP(Data.[[#This Row],[Supervisor]],Ejecutivos!B:S,17,0)</f>
        <v>47688341</v>
      </c>
      <c r="Z129" s="54" t="str">
        <f>VLOOKUP(Data.[[#This Row],[DNI Supervisor]],Productividad!C:U,8,0)</f>
        <v>jaguilar@lozapay.com.pe</v>
      </c>
      <c r="AA129" s="8"/>
      <c r="AB129" s="8" t="s">
        <v>87</v>
      </c>
      <c r="AC129" s="53" t="str">
        <f>IFERROR(CONCATENATE(Data.[[#This Row],[DNI Ejecutivo]],Data.[[#This Row],[Periodo]]),"")</f>
        <v>7701609546174</v>
      </c>
      <c r="AD129" s="53" t="str">
        <f>IFERROR(VLOOKUP(Data.[[#This Row],[Código LT]],Reportería.[],10,0),"")</f>
        <v/>
      </c>
      <c r="AE129" s="53" t="str">
        <f>IFERROR(VLOOKUP(Data.[[#This Row],[Código LT]],Reportería.[],11,0),"")</f>
        <v/>
      </c>
      <c r="AF129" s="13">
        <f>IFERROR(VLOOKUP(Data.[[#This Row],[Código]],Reportería!A:BV,57,0),0)</f>
        <v>0</v>
      </c>
      <c r="AG129" s="13"/>
      <c r="AH129" s="13"/>
      <c r="AI129" s="11">
        <f>IF(TEXT(Data.[[#This Row],[Periodo]],"mmm-yy")="may-26",VLOOKUP(Data.[[#This Row],[Código]],Reportería!A:BV,57,0),0)</f>
        <v>0</v>
      </c>
      <c r="AJ129" s="11"/>
      <c r="AK129" s="11"/>
      <c r="AL129" s="11">
        <f>IF(Data.[[#This Row],[Vol M0]]="",0,0)</f>
        <v>0</v>
      </c>
      <c r="AM129" s="11">
        <f>IF(Data.[[#This Row],[Vol M0]]="",0,0)</f>
        <v>0</v>
      </c>
      <c r="AN129" s="11">
        <f>IF(Data.[[#This Row],[Vol M0]]="",0,0)</f>
        <v>0</v>
      </c>
      <c r="AO129" s="11">
        <f>IF(Data.[[#This Row],[Vol M0]]="",0,0)</f>
        <v>0</v>
      </c>
      <c r="AP129" s="11">
        <f>IF(Data.[[#This Row],[Vol M0]]="",0,0)</f>
        <v>0</v>
      </c>
      <c r="AQ129" s="11">
        <f>IF(Data.[[#This Row],[Vol M0]]="",0,0)</f>
        <v>0</v>
      </c>
      <c r="AR129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30" spans="1:44" ht="14.25" customHeight="1">
      <c r="A130" s="53" t="str">
        <f>CONCATENATE(Data.[[#This Row],[Código]],Data.[[#This Row],[Ruc]])</f>
        <v>596113710450078323</v>
      </c>
      <c r="B130" s="9">
        <v>46174</v>
      </c>
      <c r="C130" s="53" t="str">
        <f>IFERROR(VLOOKUP(Data.[[#This Row],[Código LT]],Reportería.[],71,0),"")</f>
        <v/>
      </c>
      <c r="D130" s="10">
        <f>IFERROR(VLOOKUP(Data.[[#This Row],[Código]],BV!A:C,2,0),"")</f>
        <v>46159</v>
      </c>
      <c r="E130" s="10">
        <f>IFERROR(VLOOKUP(Data.[[#This Row],[Código]],BV!A:C,3,0),"")</f>
        <v>0</v>
      </c>
      <c r="F130" s="53">
        <v>5961137</v>
      </c>
      <c r="G130" s="8" t="s">
        <v>917</v>
      </c>
      <c r="H130" s="8">
        <v>10450078323</v>
      </c>
      <c r="I130" s="8" t="s">
        <v>918</v>
      </c>
      <c r="J130" s="8" t="s">
        <v>919</v>
      </c>
      <c r="K130" s="53" t="str">
        <f>IF(Data.[[#This Row],[Tipo de Venta]]&lt;&gt;"POS","Atendido",IF(Data.[[#This Row],[Fecha de Instalación]]&lt;&gt;"","Atendido","Ingresado"))</f>
        <v>Atendido</v>
      </c>
      <c r="L130" s="53" t="str">
        <f>Data.[[#This Row],[Estado]]</f>
        <v>Atendido</v>
      </c>
      <c r="M130" s="8" t="s">
        <v>33</v>
      </c>
      <c r="N130" s="53" t="str">
        <f>IFERROR(VLOOKUP(Data.[[#This Row],[Código LT]],Reportería.[],20,0),"")</f>
        <v/>
      </c>
      <c r="O130" s="53" t="str">
        <f>IFERROR(VLOOKUP(Data.[[#This Row],[Código LT]],Reportería.[],5,0),"")</f>
        <v/>
      </c>
      <c r="P130" s="11">
        <f>Data.[[#This Row],[GPV Mensual LT]]/COUNTIFS(H:H,Data.[[#This Row],[Ruc]],B:B,Data.[[#This Row],[Periodo]])</f>
        <v>28000</v>
      </c>
      <c r="Q130" s="11">
        <v>28000</v>
      </c>
      <c r="R130" s="8" t="s">
        <v>41</v>
      </c>
      <c r="S130" s="53" t="str">
        <f>VLOOKUP(Data.[[#This Row],[Ejecutivo]],Productividad!D:N,11,0)</f>
        <v>002409208</v>
      </c>
      <c r="T130" s="54" t="str">
        <f>VLOOKUP(Data.[[#This Row],[DNI Ejecutivo]],Productividad!C:U,8,0)</f>
        <v>jose.mujica@lozapay.com.pe</v>
      </c>
      <c r="U130" s="53" t="str">
        <f>VLOOKUP(Data.[[#This Row],[DNI Ejecutivo]],Productividad!C:U,4,0)</f>
        <v>Senior</v>
      </c>
      <c r="V130" s="53" t="str">
        <f>IFERROR(VLOOKUP(Data.[[#This Row],[DNI Ejecutivo]],Ejecutivos.[],11,0),"")</f>
        <v>Norte Fuentes</v>
      </c>
      <c r="W130" s="8" t="s">
        <v>42</v>
      </c>
      <c r="X130" s="53" t="str" cm="1">
        <f t="array" ref="X130">IFERROR(_xlfn.IFS(Data.[[#This Row],[Supervisor]]="Jonathan Lapoint","Norte",Data.[[#This Row],[Supervisor]]="Jorge Fuentes","Norte"),"Lima")</f>
        <v>Norte</v>
      </c>
      <c r="Y130" s="53" t="str">
        <f>VLOOKUP(Data.[[#This Row],[Supervisor]],Ejecutivos!B:S,17,0)</f>
        <v>70059865</v>
      </c>
      <c r="Z130" s="54" t="str">
        <f>VLOOKUP(Data.[[#This Row],[DNI Supervisor]],Productividad!C:U,8,0)</f>
        <v>jfuentes@lozapay.com.pe</v>
      </c>
      <c r="AA130" s="8"/>
      <c r="AB130" s="8" t="s">
        <v>43</v>
      </c>
      <c r="AC130" s="53" t="str">
        <f>IFERROR(CONCATENATE(Data.[[#This Row],[DNI Ejecutivo]],Data.[[#This Row],[Periodo]]),"")</f>
        <v>00240920846174</v>
      </c>
      <c r="AD130" s="53" t="str">
        <f>IFERROR(VLOOKUP(Data.[[#This Row],[Código LT]],Reportería.[],10,0),"")</f>
        <v/>
      </c>
      <c r="AE130" s="53" t="str">
        <f>IFERROR(VLOOKUP(Data.[[#This Row],[Código LT]],Reportería.[],11,0),"")</f>
        <v/>
      </c>
      <c r="AF130" s="13">
        <f>IFERROR(VLOOKUP(Data.[[#This Row],[Código]],Reportería!A:BV,57,0),0)</f>
        <v>0</v>
      </c>
      <c r="AG130" s="13"/>
      <c r="AH130" s="13"/>
      <c r="AI130" s="11">
        <f>IF(TEXT(Data.[[#This Row],[Periodo]],"mmm-yy")="may-26",VLOOKUP(Data.[[#This Row],[Código]],Reportería!A:BV,57,0),0)</f>
        <v>0</v>
      </c>
      <c r="AJ130" s="11"/>
      <c r="AK130" s="11"/>
      <c r="AL130" s="11">
        <f>IF(Data.[[#This Row],[Vol M0]]="",0,0)</f>
        <v>0</v>
      </c>
      <c r="AM130" s="11">
        <f>IF(Data.[[#This Row],[Vol M0]]="",0,0)</f>
        <v>0</v>
      </c>
      <c r="AN130" s="11">
        <f>IF(Data.[[#This Row],[Vol M0]]="",0,0)</f>
        <v>0</v>
      </c>
      <c r="AO130" s="11">
        <f>IF(Data.[[#This Row],[Vol M0]]="",0,0)</f>
        <v>0</v>
      </c>
      <c r="AP130" s="11">
        <f>IF(Data.[[#This Row],[Vol M0]]="",0,0)</f>
        <v>0</v>
      </c>
      <c r="AQ130" s="11">
        <f>IF(Data.[[#This Row],[Vol M0]]="",0,0)</f>
        <v>0</v>
      </c>
      <c r="AR130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31" spans="1:44" ht="14.25" customHeight="1">
      <c r="A131" s="55" t="str">
        <f>CONCATENATE(Data.[[#This Row],[Código]],Data.[[#This Row],[Ruc]])</f>
        <v>596125120614992868</v>
      </c>
      <c r="B131" s="9">
        <v>46174</v>
      </c>
      <c r="C131" s="55" t="str">
        <f>IFERROR(VLOOKUP(Data.[[#This Row],[Código LT]],Reportería.[],71,0),"")</f>
        <v/>
      </c>
      <c r="D131" s="52">
        <f>IFERROR(VLOOKUP(Data.[[#This Row],[Código]],BV!A:C,2,0),"")</f>
        <v>46159</v>
      </c>
      <c r="E131" s="52">
        <f>IFERROR(VLOOKUP(Data.[[#This Row],[Código]],BV!A:C,3,0),"")</f>
        <v>46190</v>
      </c>
      <c r="F131" s="55">
        <v>5961251</v>
      </c>
      <c r="G131" s="12" t="s">
        <v>920</v>
      </c>
      <c r="H131" s="12">
        <v>20614992868</v>
      </c>
      <c r="I131" s="12" t="s">
        <v>921</v>
      </c>
      <c r="J131" s="12" t="s">
        <v>922</v>
      </c>
      <c r="K131" s="55" t="str">
        <f>IF(Data.[[#This Row],[Tipo de Venta]]&lt;&gt;"POS","Atendido",IF(Data.[[#This Row],[Fecha de Instalación]]&lt;&gt;"","Atendido","Ingresado"))</f>
        <v>Atendido</v>
      </c>
      <c r="L131" s="55" t="str">
        <f>Data.[[#This Row],[Estado]]</f>
        <v>Atendido</v>
      </c>
      <c r="M131" s="8" t="s">
        <v>33</v>
      </c>
      <c r="N131" s="55" t="str">
        <f>IFERROR(VLOOKUP(Data.[[#This Row],[Código LT]],Reportería.[],20,0),"")</f>
        <v/>
      </c>
      <c r="O131" s="55" t="str">
        <f>IFERROR(VLOOKUP(Data.[[#This Row],[Código LT]],Reportería.[],5,0),"")</f>
        <v/>
      </c>
      <c r="P131" s="13">
        <f>Data.[[#This Row],[GPV Mensual LT]]/COUNTIFS(H:H,Data.[[#This Row],[Ruc]],B:B,Data.[[#This Row],[Periodo]])</f>
        <v>30000</v>
      </c>
      <c r="Q131" s="13">
        <v>30000</v>
      </c>
      <c r="R131" s="12" t="s">
        <v>284</v>
      </c>
      <c r="S131" s="55" t="str">
        <f>VLOOKUP(Data.[[#This Row],[Ejecutivo]],Productividad!D:N,11,0)</f>
        <v>71870286</v>
      </c>
      <c r="T131" s="56" t="str">
        <f>VLOOKUP(Data.[[#This Row],[DNI Ejecutivo]],Productividad!C:U,8,0)</f>
        <v>william.cortez@lozapay.com.pe</v>
      </c>
      <c r="U131" s="55" t="str">
        <f>VLOOKUP(Data.[[#This Row],[DNI Ejecutivo]],Productividad!C:U,4,0)</f>
        <v>Senior</v>
      </c>
      <c r="V131" s="55" t="str">
        <f>IFERROR(VLOOKUP(Data.[[#This Row],[DNI Ejecutivo]],Ejecutivos.[],11,0),"")</f>
        <v>Norte Lapoint</v>
      </c>
      <c r="W131" s="12" t="s">
        <v>98</v>
      </c>
      <c r="X131" s="55" t="str" cm="1">
        <f t="array" ref="X131">IFERROR(_xlfn.IFS(Data.[[#This Row],[Supervisor]]="Jonathan Lapoint","Norte",Data.[[#This Row],[Supervisor]]="Jorge Fuentes","Norte"),"Lima")</f>
        <v>Norte</v>
      </c>
      <c r="Y131" s="55" t="str">
        <f>VLOOKUP(Data.[[#This Row],[Supervisor]],Ejecutivos!B:S,17,0)</f>
        <v>70430554</v>
      </c>
      <c r="Z131" s="56" t="str">
        <f>VLOOKUP(Data.[[#This Row],[DNI Supervisor]],Productividad!C:U,8,0)</f>
        <v>jlapointp@lozapay.com.pe</v>
      </c>
      <c r="AA131" s="12"/>
      <c r="AB131" s="12" t="s">
        <v>285</v>
      </c>
      <c r="AC131" s="55" t="str">
        <f>IFERROR(CONCATENATE(Data.[[#This Row],[DNI Ejecutivo]],Data.[[#This Row],[Periodo]]),"")</f>
        <v>7187028646174</v>
      </c>
      <c r="AD131" s="55" t="str">
        <f>IFERROR(VLOOKUP(Data.[[#This Row],[Código LT]],Reportería.[],10,0),"")</f>
        <v/>
      </c>
      <c r="AE131" s="55" t="str">
        <f>IFERROR(VLOOKUP(Data.[[#This Row],[Código LT]],Reportería.[],11,0),"")</f>
        <v/>
      </c>
      <c r="AF131" s="13">
        <f>IFERROR(VLOOKUP(Data.[[#This Row],[Código]],Reportería!A:BV,57,0),0)</f>
        <v>0</v>
      </c>
      <c r="AG131" s="13"/>
      <c r="AH131" s="13"/>
      <c r="AI131" s="13">
        <f>IF(TEXT(Data.[[#This Row],[Periodo]],"mmm-yy")="may-26",VLOOKUP(Data.[[#This Row],[Código]],Reportería!A:BV,57,0),0)</f>
        <v>0</v>
      </c>
      <c r="AJ131" s="13"/>
      <c r="AK131" s="13"/>
      <c r="AL131" s="13">
        <f>IF(Data.[[#This Row],[Vol M0]]="",0,0)</f>
        <v>0</v>
      </c>
      <c r="AM131" s="13">
        <f>IF(Data.[[#This Row],[Vol M0]]="",0,0)</f>
        <v>0</v>
      </c>
      <c r="AN131" s="13">
        <f>IF(Data.[[#This Row],[Vol M0]]="",0,0)</f>
        <v>0</v>
      </c>
      <c r="AO131" s="13">
        <f>IF(Data.[[#This Row],[Vol M0]]="",0,0)</f>
        <v>0</v>
      </c>
      <c r="AP131" s="13">
        <f>IF(Data.[[#This Row],[Vol M0]]="",0,0)</f>
        <v>0</v>
      </c>
      <c r="AQ131" s="13">
        <f>IF(Data.[[#This Row],[Vol M0]]="",0,0)</f>
        <v>0</v>
      </c>
      <c r="AR131" s="13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32" spans="1:44" ht="14.25" customHeight="1">
      <c r="A132" s="53" t="str">
        <f>CONCATENATE(Data.[[#This Row],[Código]],Data.[[#This Row],[Ruc]])</f>
        <v>20608135651</v>
      </c>
      <c r="B132" s="9">
        <v>46174</v>
      </c>
      <c r="C132" s="53" t="str">
        <f>IFERROR(VLOOKUP(Data.[[#This Row],[Código LT]],Reportería.[],71,0),"")</f>
        <v/>
      </c>
      <c r="D132" s="10" t="str">
        <f>IFERROR(VLOOKUP(Data.[[#This Row],[Código]],BV!A:C,2,0),"")</f>
        <v/>
      </c>
      <c r="E132" s="10" t="str">
        <f>IFERROR(VLOOKUP(Data.[[#This Row],[Código]],BV!A:C,3,0),"")</f>
        <v/>
      </c>
      <c r="F132" s="53"/>
      <c r="G132" s="8" t="s">
        <v>1159</v>
      </c>
      <c r="H132" s="8">
        <v>20608135651</v>
      </c>
      <c r="I132" s="8" t="s">
        <v>1160</v>
      </c>
      <c r="J132" s="8" t="s">
        <v>1161</v>
      </c>
      <c r="K132" s="53" t="str">
        <f>IF(Data.[[#This Row],[Tipo de Venta]]&lt;&gt;"POS","Atendido",IF(Data.[[#This Row],[Fecha de Instalación]]&lt;&gt;"","Atendido","Ingresado"))</f>
        <v>Ingresado</v>
      </c>
      <c r="L132" s="53" t="str">
        <f>Data.[[#This Row],[Estado]]</f>
        <v>Ingresado</v>
      </c>
      <c r="M132" s="8" t="s">
        <v>33</v>
      </c>
      <c r="N132" s="53" t="str">
        <f>IFERROR(VLOOKUP(Data.[[#This Row],[Código LT]],Reportería.[],20,0),"")</f>
        <v/>
      </c>
      <c r="O132" s="53" t="str">
        <f>IFERROR(VLOOKUP(Data.[[#This Row],[Código LT]],Reportería.[],5,0),"")</f>
        <v/>
      </c>
      <c r="P132" s="11">
        <f>Data.[[#This Row],[GPV Mensual LT]]/COUNTIFS(H:H,Data.[[#This Row],[Ruc]],B:B,Data.[[#This Row],[Periodo]])</f>
        <v>30000</v>
      </c>
      <c r="Q132" s="11">
        <v>30000</v>
      </c>
      <c r="R132" s="8" t="s">
        <v>247</v>
      </c>
      <c r="S132" s="53" t="str">
        <f>VLOOKUP(Data.[[#This Row],[Ejecutivo]],Productividad!D:N,11,0)</f>
        <v>42368700</v>
      </c>
      <c r="T132" s="54" t="str">
        <f>VLOOKUP(Data.[[#This Row],[DNI Ejecutivo]],Productividad!C:U,8,0)</f>
        <v>billy.villacrez@lozapay.com.pe</v>
      </c>
      <c r="U132" s="53" t="str">
        <f>VLOOKUP(Data.[[#This Row],[DNI Ejecutivo]],Productividad!C:U,4,0)</f>
        <v>Hunter</v>
      </c>
      <c r="V132" s="53" t="str">
        <f>IFERROR(VLOOKUP(Data.[[#This Row],[DNI Ejecutivo]],Ejecutivos.[],11,0),"")</f>
        <v>Norte Lapoint</v>
      </c>
      <c r="W132" s="8" t="s">
        <v>98</v>
      </c>
      <c r="X132" s="53" t="str" cm="1">
        <f t="array" ref="X132">IFERROR(_xlfn.IFS(Data.[[#This Row],[Supervisor]]="Jonathan Lapoint","Norte",Data.[[#This Row],[Supervisor]]="Jorge Fuentes","Norte"),"Lima")</f>
        <v>Norte</v>
      </c>
      <c r="Y132" s="53" t="str">
        <f>VLOOKUP(Data.[[#This Row],[Supervisor]],Ejecutivos!B:S,17,0)</f>
        <v>70430554</v>
      </c>
      <c r="Z132" s="54" t="str">
        <f>VLOOKUP(Data.[[#This Row],[DNI Supervisor]],Productividad!C:U,8,0)</f>
        <v>jlapointp@lozapay.com.pe</v>
      </c>
      <c r="AA132" s="8"/>
      <c r="AB132" s="8" t="s">
        <v>248</v>
      </c>
      <c r="AC132" s="53" t="str">
        <f>IFERROR(CONCATENATE(Data.[[#This Row],[DNI Ejecutivo]],Data.[[#This Row],[Periodo]]),"")</f>
        <v>4236870046174</v>
      </c>
      <c r="AD132" s="53" t="str">
        <f>IFERROR(VLOOKUP(Data.[[#This Row],[Código LT]],Reportería.[],10,0),"")</f>
        <v/>
      </c>
      <c r="AE132" s="53" t="str">
        <f>IFERROR(VLOOKUP(Data.[[#This Row],[Código LT]],Reportería.[],11,0),"")</f>
        <v/>
      </c>
      <c r="AF132" s="13">
        <f>IFERROR(VLOOKUP(Data.[[#This Row],[Código]],Reportería!A:BV,57,0),0)</f>
        <v>0</v>
      </c>
      <c r="AG132" s="13"/>
      <c r="AH132" s="13"/>
      <c r="AI132" s="11">
        <f>IF(TEXT(Data.[[#This Row],[Periodo]],"mmm-yy")="may-26",VLOOKUP(Data.[[#This Row],[Código]],Reportería!A:BV,57,0),0)</f>
        <v>0</v>
      </c>
      <c r="AJ132" s="11"/>
      <c r="AK132" s="11"/>
      <c r="AL132" s="11">
        <f>IF(Data.[[#This Row],[Vol M0]]="",0,0)</f>
        <v>0</v>
      </c>
      <c r="AM132" s="11">
        <f>IF(Data.[[#This Row],[Vol M0]]="",0,0)</f>
        <v>0</v>
      </c>
      <c r="AN132" s="11">
        <f>IF(Data.[[#This Row],[Vol M0]]="",0,0)</f>
        <v>0</v>
      </c>
      <c r="AO132" s="11">
        <f>IF(Data.[[#This Row],[Vol M0]]="",0,0)</f>
        <v>0</v>
      </c>
      <c r="AP132" s="11">
        <f>IF(Data.[[#This Row],[Vol M0]]="",0,0)</f>
        <v>0</v>
      </c>
      <c r="AQ132" s="11">
        <f>IF(Data.[[#This Row],[Vol M0]]="",0,0)</f>
        <v>0</v>
      </c>
      <c r="AR132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33" spans="1:44" ht="14.25" customHeight="1">
      <c r="A133" s="53" t="str">
        <f>CONCATENATE(Data.[[#This Row],[Código]],Data.[[#This Row],[Ruc]])</f>
        <v>20610507761</v>
      </c>
      <c r="B133" s="9">
        <v>46174</v>
      </c>
      <c r="C133" s="53" t="str">
        <f>IFERROR(VLOOKUP(Data.[[#This Row],[Código LT]],Reportería.[],71,0),"")</f>
        <v/>
      </c>
      <c r="D133" s="10" t="str">
        <f>IFERROR(VLOOKUP(Data.[[#This Row],[Código]],BV!A:C,2,0),"")</f>
        <v/>
      </c>
      <c r="E133" s="10" t="str">
        <f>IFERROR(VLOOKUP(Data.[[#This Row],[Código]],BV!A:C,3,0),"")</f>
        <v/>
      </c>
      <c r="F133" s="53"/>
      <c r="G133" s="8" t="s">
        <v>1162</v>
      </c>
      <c r="H133" s="8">
        <v>20610507761</v>
      </c>
      <c r="I133" s="8" t="s">
        <v>1163</v>
      </c>
      <c r="J133" s="8" t="s">
        <v>1164</v>
      </c>
      <c r="K133" s="53" t="str">
        <f>IF(Data.[[#This Row],[Tipo de Venta]]&lt;&gt;"POS","Atendido",IF(Data.[[#This Row],[Fecha de Instalación]]&lt;&gt;"","Atendido","Ingresado"))</f>
        <v>Ingresado</v>
      </c>
      <c r="L133" s="53" t="str">
        <f>Data.[[#This Row],[Estado]]</f>
        <v>Ingresado</v>
      </c>
      <c r="M133" s="8" t="s">
        <v>33</v>
      </c>
      <c r="N133" s="53" t="str">
        <f>IFERROR(VLOOKUP(Data.[[#This Row],[Código LT]],Reportería.[],20,0),"")</f>
        <v/>
      </c>
      <c r="O133" s="53" t="str">
        <f>IFERROR(VLOOKUP(Data.[[#This Row],[Código LT]],Reportería.[],5,0),"")</f>
        <v/>
      </c>
      <c r="P133" s="11">
        <f>Data.[[#This Row],[GPV Mensual LT]]/COUNTIFS(H:H,Data.[[#This Row],[Ruc]],B:B,Data.[[#This Row],[Periodo]])</f>
        <v>20000</v>
      </c>
      <c r="Q133" s="11">
        <v>20000</v>
      </c>
      <c r="R133" s="8" t="s">
        <v>278</v>
      </c>
      <c r="S133" s="53" t="str">
        <f>VLOOKUP(Data.[[#This Row],[Ejecutivo]],Productividad!D:N,11,0)</f>
        <v>42858532</v>
      </c>
      <c r="T133" s="54" t="str">
        <f>VLOOKUP(Data.[[#This Row],[DNI Ejecutivo]],Productividad!C:U,8,0)</f>
        <v>marlon.martinez@lozapay.com.pe</v>
      </c>
      <c r="U133" s="53" t="str">
        <f>VLOOKUP(Data.[[#This Row],[DNI Ejecutivo]],Productividad!C:U,4,0)</f>
        <v>Hunter</v>
      </c>
      <c r="V133" s="53" t="str">
        <f>IFERROR(VLOOKUP(Data.[[#This Row],[DNI Ejecutivo]],Ejecutivos.[],11,0),"")</f>
        <v>Norte Lapoint</v>
      </c>
      <c r="W133" s="8" t="s">
        <v>98</v>
      </c>
      <c r="X133" s="53" t="str" cm="1">
        <f t="array" ref="X133">IFERROR(_xlfn.IFS(Data.[[#This Row],[Supervisor]]="Jonathan Lapoint","Norte",Data.[[#This Row],[Supervisor]]="Jorge Fuentes","Norte"),"Lima")</f>
        <v>Norte</v>
      </c>
      <c r="Y133" s="53" t="str">
        <f>VLOOKUP(Data.[[#This Row],[Supervisor]],Ejecutivos!B:S,17,0)</f>
        <v>70430554</v>
      </c>
      <c r="Z133" s="54" t="str">
        <f>VLOOKUP(Data.[[#This Row],[DNI Supervisor]],Productividad!C:U,8,0)</f>
        <v>jlapointp@lozapay.com.pe</v>
      </c>
      <c r="AA133" s="8"/>
      <c r="AB133" s="8" t="s">
        <v>279</v>
      </c>
      <c r="AC133" s="53" t="str">
        <f>IFERROR(CONCATENATE(Data.[[#This Row],[DNI Ejecutivo]],Data.[[#This Row],[Periodo]]),"")</f>
        <v>4285853246174</v>
      </c>
      <c r="AD133" s="53" t="str">
        <f>IFERROR(VLOOKUP(Data.[[#This Row],[Código LT]],Reportería.[],10,0),"")</f>
        <v/>
      </c>
      <c r="AE133" s="53" t="str">
        <f>IFERROR(VLOOKUP(Data.[[#This Row],[Código LT]],Reportería.[],11,0),"")</f>
        <v/>
      </c>
      <c r="AF133" s="13">
        <f>IFERROR(VLOOKUP(Data.[[#This Row],[Código]],Reportería!A:BV,57,0),0)</f>
        <v>0</v>
      </c>
      <c r="AG133" s="127"/>
      <c r="AH133" s="127"/>
      <c r="AI133" s="11">
        <f>IF(TEXT(Data.[[#This Row],[Periodo]],"mmm-yy")="may-26",VLOOKUP(Data.[[#This Row],[Código]],Reportería!A:BV,57,0),0)</f>
        <v>0</v>
      </c>
      <c r="AJ133" s="11"/>
      <c r="AK133" s="11"/>
      <c r="AL133" s="11">
        <f>IF(Data.[[#This Row],[Vol M0]]="",0,0)</f>
        <v>0</v>
      </c>
      <c r="AM133" s="11">
        <f>IF(Data.[[#This Row],[Vol M0]]="",0,0)</f>
        <v>0</v>
      </c>
      <c r="AN133" s="11">
        <f>IF(Data.[[#This Row],[Vol M0]]="",0,0)</f>
        <v>0</v>
      </c>
      <c r="AO133" s="11">
        <f>IF(Data.[[#This Row],[Vol M0]]="",0,0)</f>
        <v>0</v>
      </c>
      <c r="AP133" s="11">
        <f>IF(Data.[[#This Row],[Vol M0]]="",0,0)</f>
        <v>0</v>
      </c>
      <c r="AQ133" s="11">
        <f>IF(Data.[[#This Row],[Vol M0]]="",0,0)</f>
        <v>0</v>
      </c>
      <c r="AR133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34" spans="1:44" ht="14.25" customHeight="1">
      <c r="A134" s="53" t="str">
        <f>CONCATENATE(Data.[[#This Row],[Código]],Data.[[#This Row],[Ruc]])</f>
        <v>596184620616038771</v>
      </c>
      <c r="B134" s="9">
        <v>46174</v>
      </c>
      <c r="C134" s="53" t="str">
        <f>IFERROR(VLOOKUP(Data.[[#This Row],[Código LT]],Reportería.[],71,0),"")</f>
        <v/>
      </c>
      <c r="D134" s="10">
        <f>IFERROR(VLOOKUP(Data.[[#This Row],[Código]],BV!A:C,2,0),"")</f>
        <v>46160</v>
      </c>
      <c r="E134" s="10">
        <f>IFERROR(VLOOKUP(Data.[[#This Row],[Código]],BV!A:C,3,0),"")</f>
        <v>46192</v>
      </c>
      <c r="F134" s="53">
        <v>5961846</v>
      </c>
      <c r="G134" s="8" t="s">
        <v>1165</v>
      </c>
      <c r="H134" s="8">
        <v>20616038771</v>
      </c>
      <c r="I134" s="8" t="s">
        <v>1166</v>
      </c>
      <c r="J134" s="8" t="s">
        <v>1167</v>
      </c>
      <c r="K134" s="53" t="str">
        <f>IF(Data.[[#This Row],[Tipo de Venta]]&lt;&gt;"POS","Atendido",IF(Data.[[#This Row],[Fecha de Instalación]]&lt;&gt;"","Atendido","Ingresado"))</f>
        <v>Atendido</v>
      </c>
      <c r="L134" s="53" t="str">
        <f>Data.[[#This Row],[Estado]]</f>
        <v>Atendido</v>
      </c>
      <c r="M134" s="8" t="s">
        <v>33</v>
      </c>
      <c r="N134" s="53" t="str">
        <f>IFERROR(VLOOKUP(Data.[[#This Row],[Código LT]],Reportería.[],20,0),"")</f>
        <v/>
      </c>
      <c r="O134" s="53" t="str">
        <f>IFERROR(VLOOKUP(Data.[[#This Row],[Código LT]],Reportería.[],5,0),"")</f>
        <v/>
      </c>
      <c r="P134" s="11">
        <f>Data.[[#This Row],[GPV Mensual LT]]/COUNTIFS(H:H,Data.[[#This Row],[Ruc]],B:B,Data.[[#This Row],[Periodo]])</f>
        <v>13333.333333333334</v>
      </c>
      <c r="Q134" s="11">
        <v>120000</v>
      </c>
      <c r="R134" s="8" t="s">
        <v>69</v>
      </c>
      <c r="S134" s="53" t="str">
        <f>VLOOKUP(Data.[[#This Row],[Ejecutivo]],Productividad!D:N,11,0)</f>
        <v>41309076</v>
      </c>
      <c r="T134" s="54" t="str">
        <f>VLOOKUP(Data.[[#This Row],[DNI Ejecutivo]],Productividad!C:U,8,0)</f>
        <v>jonathan.lavado@lozapay.com.pe</v>
      </c>
      <c r="U134" s="53" t="str">
        <f>VLOOKUP(Data.[[#This Row],[DNI Ejecutivo]],Productividad!C:U,4,0)</f>
        <v>Hunter</v>
      </c>
      <c r="V134" s="53" t="str">
        <f>IFERROR(VLOOKUP(Data.[[#This Row],[DNI Ejecutivo]],Ejecutivos.[],11,0),"")</f>
        <v>Lima Jean</v>
      </c>
      <c r="W134" s="8" t="s">
        <v>64</v>
      </c>
      <c r="X134" s="53" t="str" cm="1">
        <f t="array" ref="X134">IFERROR(_xlfn.IFS(Data.[[#This Row],[Supervisor]]="Jonathan Lapoint","Norte",Data.[[#This Row],[Supervisor]]="Jorge Fuentes","Norte"),"Lima")</f>
        <v>Lima</v>
      </c>
      <c r="Y134" s="53" t="str">
        <f>VLOOKUP(Data.[[#This Row],[Supervisor]],Ejecutivos!B:S,17,0)</f>
        <v>47688341</v>
      </c>
      <c r="Z134" s="54" t="str">
        <f>VLOOKUP(Data.[[#This Row],[DNI Supervisor]],Productividad!C:U,8,0)</f>
        <v>jaguilar@lozapay.com.pe</v>
      </c>
      <c r="AA134" s="8"/>
      <c r="AB134" s="8" t="s">
        <v>70</v>
      </c>
      <c r="AC134" s="53" t="str">
        <f>IFERROR(CONCATENATE(Data.[[#This Row],[DNI Ejecutivo]],Data.[[#This Row],[Periodo]]),"")</f>
        <v>4130907646174</v>
      </c>
      <c r="AD134" s="53" t="str">
        <f>IFERROR(VLOOKUP(Data.[[#This Row],[Código LT]],Reportería.[],10,0),"")</f>
        <v/>
      </c>
      <c r="AE134" s="53" t="str">
        <f>IFERROR(VLOOKUP(Data.[[#This Row],[Código LT]],Reportería.[],11,0),"")</f>
        <v/>
      </c>
      <c r="AF134" s="13">
        <f>IFERROR(VLOOKUP(Data.[[#This Row],[Código]],Reportería!A:BV,57,0),0)</f>
        <v>0</v>
      </c>
      <c r="AG134" s="127"/>
      <c r="AH134" s="127"/>
      <c r="AI134" s="11">
        <f>IF(TEXT(Data.[[#This Row],[Periodo]],"mmm-yy")="may-26",VLOOKUP(Data.[[#This Row],[Código]],Reportería!A:BV,57,0),0)</f>
        <v>0</v>
      </c>
      <c r="AJ134" s="11"/>
      <c r="AK134" s="11"/>
      <c r="AL134" s="11">
        <f>IF(Data.[[#This Row],[Vol M0]]="",0,0)</f>
        <v>0</v>
      </c>
      <c r="AM134" s="11">
        <f>IF(Data.[[#This Row],[Vol M0]]="",0,0)</f>
        <v>0</v>
      </c>
      <c r="AN134" s="11">
        <f>IF(Data.[[#This Row],[Vol M0]]="",0,0)</f>
        <v>0</v>
      </c>
      <c r="AO134" s="11">
        <f>IF(Data.[[#This Row],[Vol M0]]="",0,0)</f>
        <v>0</v>
      </c>
      <c r="AP134" s="11">
        <f>IF(Data.[[#This Row],[Vol M0]]="",0,0)</f>
        <v>0</v>
      </c>
      <c r="AQ134" s="11">
        <f>IF(Data.[[#This Row],[Vol M0]]="",0,0)</f>
        <v>0</v>
      </c>
      <c r="AR134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35" spans="1:44" ht="14.25" customHeight="1">
      <c r="A135" s="53" t="str">
        <f>CONCATENATE(Data.[[#This Row],[Código]],Data.[[#This Row],[Ruc]])</f>
        <v>596184520616038771</v>
      </c>
      <c r="B135" s="9">
        <v>46174</v>
      </c>
      <c r="C135" s="53" t="str">
        <f>IFERROR(VLOOKUP(Data.[[#This Row],[Código LT]],Reportería.[],71,0),"")</f>
        <v/>
      </c>
      <c r="D135" s="10">
        <f>IFERROR(VLOOKUP(Data.[[#This Row],[Código]],BV!A:C,2,0),"")</f>
        <v>46160</v>
      </c>
      <c r="E135" s="10">
        <f>IFERROR(VLOOKUP(Data.[[#This Row],[Código]],BV!A:C,3,0),"")</f>
        <v>46192</v>
      </c>
      <c r="F135" s="53">
        <v>5961845</v>
      </c>
      <c r="G135" s="8" t="s">
        <v>1168</v>
      </c>
      <c r="H135" s="8">
        <v>20616038771</v>
      </c>
      <c r="I135" s="8" t="s">
        <v>1166</v>
      </c>
      <c r="J135" s="8" t="s">
        <v>1167</v>
      </c>
      <c r="K135" s="53" t="str">
        <f>IF(Data.[[#This Row],[Tipo de Venta]]&lt;&gt;"POS","Atendido",IF(Data.[[#This Row],[Fecha de Instalación]]&lt;&gt;"","Atendido","Ingresado"))</f>
        <v>Atendido</v>
      </c>
      <c r="L135" s="53" t="str">
        <f>Data.[[#This Row],[Estado]]</f>
        <v>Atendido</v>
      </c>
      <c r="M135" s="8" t="s">
        <v>33</v>
      </c>
      <c r="N135" s="53" t="str">
        <f>IFERROR(VLOOKUP(Data.[[#This Row],[Código LT]],Reportería.[],20,0),"")</f>
        <v/>
      </c>
      <c r="O135" s="53" t="str">
        <f>IFERROR(VLOOKUP(Data.[[#This Row],[Código LT]],Reportería.[],5,0),"")</f>
        <v/>
      </c>
      <c r="P135" s="11">
        <f>Data.[[#This Row],[GPV Mensual LT]]/COUNTIFS(H:H,Data.[[#This Row],[Ruc]],B:B,Data.[[#This Row],[Periodo]])</f>
        <v>13333.333333333334</v>
      </c>
      <c r="Q135" s="11">
        <v>120000</v>
      </c>
      <c r="R135" s="8" t="s">
        <v>69</v>
      </c>
      <c r="S135" s="53" t="str">
        <f>VLOOKUP(Data.[[#This Row],[Ejecutivo]],Productividad!D:N,11,0)</f>
        <v>41309076</v>
      </c>
      <c r="T135" s="54" t="str">
        <f>VLOOKUP(Data.[[#This Row],[DNI Ejecutivo]],Productividad!C:U,8,0)</f>
        <v>jonathan.lavado@lozapay.com.pe</v>
      </c>
      <c r="U135" s="53" t="str">
        <f>VLOOKUP(Data.[[#This Row],[DNI Ejecutivo]],Productividad!C:U,4,0)</f>
        <v>Hunter</v>
      </c>
      <c r="V135" s="53" t="str">
        <f>IFERROR(VLOOKUP(Data.[[#This Row],[DNI Ejecutivo]],Ejecutivos.[],11,0),"")</f>
        <v>Lima Jean</v>
      </c>
      <c r="W135" s="8" t="s">
        <v>64</v>
      </c>
      <c r="X135" s="53" t="str" cm="1">
        <f t="array" ref="X135">IFERROR(_xlfn.IFS(Data.[[#This Row],[Supervisor]]="Jonathan Lapoint","Norte",Data.[[#This Row],[Supervisor]]="Jorge Fuentes","Norte"),"Lima")</f>
        <v>Lima</v>
      </c>
      <c r="Y135" s="53" t="str">
        <f>VLOOKUP(Data.[[#This Row],[Supervisor]],Ejecutivos!B:S,17,0)</f>
        <v>47688341</v>
      </c>
      <c r="Z135" s="54" t="str">
        <f>VLOOKUP(Data.[[#This Row],[DNI Supervisor]],Productividad!C:U,8,0)</f>
        <v>jaguilar@lozapay.com.pe</v>
      </c>
      <c r="AA135" s="8"/>
      <c r="AB135" s="8" t="s">
        <v>70</v>
      </c>
      <c r="AC135" s="53" t="str">
        <f>IFERROR(CONCATENATE(Data.[[#This Row],[DNI Ejecutivo]],Data.[[#This Row],[Periodo]]),"")</f>
        <v>4130907646174</v>
      </c>
      <c r="AD135" s="53" t="str">
        <f>IFERROR(VLOOKUP(Data.[[#This Row],[Código LT]],Reportería.[],10,0),"")</f>
        <v/>
      </c>
      <c r="AE135" s="53" t="str">
        <f>IFERROR(VLOOKUP(Data.[[#This Row],[Código LT]],Reportería.[],11,0),"")</f>
        <v/>
      </c>
      <c r="AF135" s="13">
        <f>IFERROR(VLOOKUP(Data.[[#This Row],[Código]],Reportería!A:BV,57,0),0)</f>
        <v>0</v>
      </c>
      <c r="AG135" s="127"/>
      <c r="AH135" s="127"/>
      <c r="AI135" s="11">
        <f>IF(TEXT(Data.[[#This Row],[Periodo]],"mmm-yy")="may-26",VLOOKUP(Data.[[#This Row],[Código]],Reportería!A:BV,57,0),0)</f>
        <v>0</v>
      </c>
      <c r="AJ135" s="11"/>
      <c r="AK135" s="11"/>
      <c r="AL135" s="11">
        <f>IF(Data.[[#This Row],[Vol M0]]="",0,0)</f>
        <v>0</v>
      </c>
      <c r="AM135" s="11">
        <f>IF(Data.[[#This Row],[Vol M0]]="",0,0)</f>
        <v>0</v>
      </c>
      <c r="AN135" s="11">
        <f>IF(Data.[[#This Row],[Vol M0]]="",0,0)</f>
        <v>0</v>
      </c>
      <c r="AO135" s="11">
        <f>IF(Data.[[#This Row],[Vol M0]]="",0,0)</f>
        <v>0</v>
      </c>
      <c r="AP135" s="11">
        <f>IF(Data.[[#This Row],[Vol M0]]="",0,0)</f>
        <v>0</v>
      </c>
      <c r="AQ135" s="11">
        <f>IF(Data.[[#This Row],[Vol M0]]="",0,0)</f>
        <v>0</v>
      </c>
      <c r="AR135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36" spans="1:44" ht="14.25" customHeight="1">
      <c r="A136" s="53" t="str">
        <f>CONCATENATE(Data.[[#This Row],[Código]],Data.[[#This Row],[Ruc]])</f>
        <v>596184720616038771</v>
      </c>
      <c r="B136" s="9">
        <v>46174</v>
      </c>
      <c r="C136" s="53" t="str">
        <f>IFERROR(VLOOKUP(Data.[[#This Row],[Código LT]],Reportería.[],71,0),"")</f>
        <v/>
      </c>
      <c r="D136" s="10">
        <f>IFERROR(VLOOKUP(Data.[[#This Row],[Código]],BV!A:C,2,0),"")</f>
        <v>46160</v>
      </c>
      <c r="E136" s="10">
        <f>IFERROR(VLOOKUP(Data.[[#This Row],[Código]],BV!A:C,3,0),"")</f>
        <v>46192</v>
      </c>
      <c r="F136" s="53">
        <v>5961847</v>
      </c>
      <c r="G136" s="8" t="s">
        <v>1169</v>
      </c>
      <c r="H136" s="8">
        <v>20616038771</v>
      </c>
      <c r="I136" s="8" t="s">
        <v>1166</v>
      </c>
      <c r="J136" s="8" t="s">
        <v>1167</v>
      </c>
      <c r="K136" s="53" t="str">
        <f>IF(Data.[[#This Row],[Tipo de Venta]]&lt;&gt;"POS","Atendido",IF(Data.[[#This Row],[Fecha de Instalación]]&lt;&gt;"","Atendido","Ingresado"))</f>
        <v>Atendido</v>
      </c>
      <c r="L136" s="53" t="str">
        <f>Data.[[#This Row],[Estado]]</f>
        <v>Atendido</v>
      </c>
      <c r="M136" s="8" t="s">
        <v>33</v>
      </c>
      <c r="N136" s="53" t="str">
        <f>IFERROR(VLOOKUP(Data.[[#This Row],[Código LT]],Reportería.[],20,0),"")</f>
        <v/>
      </c>
      <c r="O136" s="53" t="str">
        <f>IFERROR(VLOOKUP(Data.[[#This Row],[Código LT]],Reportería.[],5,0),"")</f>
        <v/>
      </c>
      <c r="P136" s="11">
        <f>Data.[[#This Row],[GPV Mensual LT]]/COUNTIFS(H:H,Data.[[#This Row],[Ruc]],B:B,Data.[[#This Row],[Periodo]])</f>
        <v>13333.333333333334</v>
      </c>
      <c r="Q136" s="11">
        <v>120000</v>
      </c>
      <c r="R136" s="8" t="s">
        <v>69</v>
      </c>
      <c r="S136" s="53" t="str">
        <f>VLOOKUP(Data.[[#This Row],[Ejecutivo]],Productividad!D:N,11,0)</f>
        <v>41309076</v>
      </c>
      <c r="T136" s="54" t="str">
        <f>VLOOKUP(Data.[[#This Row],[DNI Ejecutivo]],Productividad!C:U,8,0)</f>
        <v>jonathan.lavado@lozapay.com.pe</v>
      </c>
      <c r="U136" s="53" t="str">
        <f>VLOOKUP(Data.[[#This Row],[DNI Ejecutivo]],Productividad!C:U,4,0)</f>
        <v>Hunter</v>
      </c>
      <c r="V136" s="53" t="str">
        <f>IFERROR(VLOOKUP(Data.[[#This Row],[DNI Ejecutivo]],Ejecutivos.[],11,0),"")</f>
        <v>Lima Jean</v>
      </c>
      <c r="W136" s="8" t="s">
        <v>64</v>
      </c>
      <c r="X136" s="53" t="str" cm="1">
        <f t="array" ref="X136">IFERROR(_xlfn.IFS(Data.[[#This Row],[Supervisor]]="Jonathan Lapoint","Norte",Data.[[#This Row],[Supervisor]]="Jorge Fuentes","Norte"),"Lima")</f>
        <v>Lima</v>
      </c>
      <c r="Y136" s="53" t="str">
        <f>VLOOKUP(Data.[[#This Row],[Supervisor]],Ejecutivos!B:S,17,0)</f>
        <v>47688341</v>
      </c>
      <c r="Z136" s="54" t="str">
        <f>VLOOKUP(Data.[[#This Row],[DNI Supervisor]],Productividad!C:U,8,0)</f>
        <v>jaguilar@lozapay.com.pe</v>
      </c>
      <c r="AA136" s="8"/>
      <c r="AB136" s="8" t="s">
        <v>70</v>
      </c>
      <c r="AC136" s="53" t="str">
        <f>IFERROR(CONCATENATE(Data.[[#This Row],[DNI Ejecutivo]],Data.[[#This Row],[Periodo]]),"")</f>
        <v>4130907646174</v>
      </c>
      <c r="AD136" s="53" t="str">
        <f>IFERROR(VLOOKUP(Data.[[#This Row],[Código LT]],Reportería.[],10,0),"")</f>
        <v/>
      </c>
      <c r="AE136" s="53" t="str">
        <f>IFERROR(VLOOKUP(Data.[[#This Row],[Código LT]],Reportería.[],11,0),"")</f>
        <v/>
      </c>
      <c r="AF136" s="13">
        <f>IFERROR(VLOOKUP(Data.[[#This Row],[Código]],Reportería!A:BV,57,0),0)</f>
        <v>0</v>
      </c>
      <c r="AG136" s="127"/>
      <c r="AH136" s="127"/>
      <c r="AI136" s="11">
        <f>IF(TEXT(Data.[[#This Row],[Periodo]],"mmm-yy")="may-26",VLOOKUP(Data.[[#This Row],[Código]],Reportería!A:BV,57,0),0)</f>
        <v>0</v>
      </c>
      <c r="AJ136" s="11"/>
      <c r="AK136" s="11"/>
      <c r="AL136" s="11">
        <f>IF(Data.[[#This Row],[Vol M0]]="",0,0)</f>
        <v>0</v>
      </c>
      <c r="AM136" s="11">
        <f>IF(Data.[[#This Row],[Vol M0]]="",0,0)</f>
        <v>0</v>
      </c>
      <c r="AN136" s="11">
        <f>IF(Data.[[#This Row],[Vol M0]]="",0,0)</f>
        <v>0</v>
      </c>
      <c r="AO136" s="11">
        <f>IF(Data.[[#This Row],[Vol M0]]="",0,0)</f>
        <v>0</v>
      </c>
      <c r="AP136" s="11">
        <f>IF(Data.[[#This Row],[Vol M0]]="",0,0)</f>
        <v>0</v>
      </c>
      <c r="AQ136" s="11">
        <f>IF(Data.[[#This Row],[Vol M0]]="",0,0)</f>
        <v>0</v>
      </c>
      <c r="AR136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37" spans="1:44" ht="14.25" customHeight="1">
      <c r="A137" s="53" t="str">
        <f>CONCATENATE(Data.[[#This Row],[Código]],Data.[[#This Row],[Ruc]])</f>
        <v>596184820616038771</v>
      </c>
      <c r="B137" s="9">
        <v>46174</v>
      </c>
      <c r="C137" s="53" t="str">
        <f>IFERROR(VLOOKUP(Data.[[#This Row],[Código LT]],Reportería.[],71,0),"")</f>
        <v/>
      </c>
      <c r="D137" s="10">
        <f>IFERROR(VLOOKUP(Data.[[#This Row],[Código]],BV!A:C,2,0),"")</f>
        <v>46160</v>
      </c>
      <c r="E137" s="10">
        <f>IFERROR(VLOOKUP(Data.[[#This Row],[Código]],BV!A:C,3,0),"")</f>
        <v>46192</v>
      </c>
      <c r="F137" s="53">
        <v>5961848</v>
      </c>
      <c r="G137" s="8" t="s">
        <v>1170</v>
      </c>
      <c r="H137" s="8">
        <v>20616038771</v>
      </c>
      <c r="I137" s="8" t="s">
        <v>1166</v>
      </c>
      <c r="J137" s="8" t="s">
        <v>1167</v>
      </c>
      <c r="K137" s="53" t="str">
        <f>IF(Data.[[#This Row],[Tipo de Venta]]&lt;&gt;"POS","Atendido",IF(Data.[[#This Row],[Fecha de Instalación]]&lt;&gt;"","Atendido","Ingresado"))</f>
        <v>Atendido</v>
      </c>
      <c r="L137" s="53" t="str">
        <f>Data.[[#This Row],[Estado]]</f>
        <v>Atendido</v>
      </c>
      <c r="M137" s="8" t="s">
        <v>33</v>
      </c>
      <c r="N137" s="53" t="str">
        <f>IFERROR(VLOOKUP(Data.[[#This Row],[Código LT]],Reportería.[],20,0),"")</f>
        <v/>
      </c>
      <c r="O137" s="53" t="str">
        <f>IFERROR(VLOOKUP(Data.[[#This Row],[Código LT]],Reportería.[],5,0),"")</f>
        <v/>
      </c>
      <c r="P137" s="11">
        <f>Data.[[#This Row],[GPV Mensual LT]]/COUNTIFS(H:H,Data.[[#This Row],[Ruc]],B:B,Data.[[#This Row],[Periodo]])</f>
        <v>13333.333333333334</v>
      </c>
      <c r="Q137" s="11">
        <v>120000</v>
      </c>
      <c r="R137" s="8" t="s">
        <v>69</v>
      </c>
      <c r="S137" s="53" t="str">
        <f>VLOOKUP(Data.[[#This Row],[Ejecutivo]],Productividad!D:N,11,0)</f>
        <v>41309076</v>
      </c>
      <c r="T137" s="54" t="str">
        <f>VLOOKUP(Data.[[#This Row],[DNI Ejecutivo]],Productividad!C:U,8,0)</f>
        <v>jonathan.lavado@lozapay.com.pe</v>
      </c>
      <c r="U137" s="53" t="str">
        <f>VLOOKUP(Data.[[#This Row],[DNI Ejecutivo]],Productividad!C:U,4,0)</f>
        <v>Hunter</v>
      </c>
      <c r="V137" s="53" t="str">
        <f>IFERROR(VLOOKUP(Data.[[#This Row],[DNI Ejecutivo]],Ejecutivos.[],11,0),"")</f>
        <v>Lima Jean</v>
      </c>
      <c r="W137" s="8" t="s">
        <v>64</v>
      </c>
      <c r="X137" s="53" t="str" cm="1">
        <f t="array" ref="X137">IFERROR(_xlfn.IFS(Data.[[#This Row],[Supervisor]]="Jonathan Lapoint","Norte",Data.[[#This Row],[Supervisor]]="Jorge Fuentes","Norte"),"Lima")</f>
        <v>Lima</v>
      </c>
      <c r="Y137" s="53" t="str">
        <f>VLOOKUP(Data.[[#This Row],[Supervisor]],Ejecutivos!B:S,17,0)</f>
        <v>47688341</v>
      </c>
      <c r="Z137" s="54" t="str">
        <f>VLOOKUP(Data.[[#This Row],[DNI Supervisor]],Productividad!C:U,8,0)</f>
        <v>jaguilar@lozapay.com.pe</v>
      </c>
      <c r="AA137" s="8"/>
      <c r="AB137" s="8" t="s">
        <v>70</v>
      </c>
      <c r="AC137" s="53" t="str">
        <f>IFERROR(CONCATENATE(Data.[[#This Row],[DNI Ejecutivo]],Data.[[#This Row],[Periodo]]),"")</f>
        <v>4130907646174</v>
      </c>
      <c r="AD137" s="53" t="str">
        <f>IFERROR(VLOOKUP(Data.[[#This Row],[Código LT]],Reportería.[],10,0),"")</f>
        <v/>
      </c>
      <c r="AE137" s="53" t="str">
        <f>IFERROR(VLOOKUP(Data.[[#This Row],[Código LT]],Reportería.[],11,0),"")</f>
        <v/>
      </c>
      <c r="AF137" s="13">
        <f>IFERROR(VLOOKUP(Data.[[#This Row],[Código]],Reportería!A:BV,57,0),0)</f>
        <v>0</v>
      </c>
      <c r="AG137" s="127"/>
      <c r="AH137" s="127"/>
      <c r="AI137" s="11">
        <f>IF(TEXT(Data.[[#This Row],[Periodo]],"mmm-yy")="may-26",VLOOKUP(Data.[[#This Row],[Código]],Reportería!A:BV,57,0),0)</f>
        <v>0</v>
      </c>
      <c r="AJ137" s="11"/>
      <c r="AK137" s="11"/>
      <c r="AL137" s="11">
        <f>IF(Data.[[#This Row],[Vol M0]]="",0,0)</f>
        <v>0</v>
      </c>
      <c r="AM137" s="11">
        <f>IF(Data.[[#This Row],[Vol M0]]="",0,0)</f>
        <v>0</v>
      </c>
      <c r="AN137" s="11">
        <f>IF(Data.[[#This Row],[Vol M0]]="",0,0)</f>
        <v>0</v>
      </c>
      <c r="AO137" s="11">
        <f>IF(Data.[[#This Row],[Vol M0]]="",0,0)</f>
        <v>0</v>
      </c>
      <c r="AP137" s="11">
        <f>IF(Data.[[#This Row],[Vol M0]]="",0,0)</f>
        <v>0</v>
      </c>
      <c r="AQ137" s="11">
        <f>IF(Data.[[#This Row],[Vol M0]]="",0,0)</f>
        <v>0</v>
      </c>
      <c r="AR137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38" spans="1:44" ht="14.25" customHeight="1">
      <c r="A138" s="53" t="str">
        <f>CONCATENATE(Data.[[#This Row],[Código]],Data.[[#This Row],[Ruc]])</f>
        <v>596185220616038771</v>
      </c>
      <c r="B138" s="9">
        <v>46174</v>
      </c>
      <c r="C138" s="53" t="str">
        <f>IFERROR(VLOOKUP(Data.[[#This Row],[Código LT]],Reportería.[],71,0),"")</f>
        <v/>
      </c>
      <c r="D138" s="10">
        <f>IFERROR(VLOOKUP(Data.[[#This Row],[Código]],BV!A:C,2,0),"")</f>
        <v>46160</v>
      </c>
      <c r="E138" s="10">
        <f>IFERROR(VLOOKUP(Data.[[#This Row],[Código]],BV!A:C,3,0),"")</f>
        <v>46192</v>
      </c>
      <c r="F138" s="53">
        <v>5961852</v>
      </c>
      <c r="G138" s="8" t="s">
        <v>1171</v>
      </c>
      <c r="H138" s="8">
        <v>20616038771</v>
      </c>
      <c r="I138" s="8" t="s">
        <v>1166</v>
      </c>
      <c r="J138" s="8" t="s">
        <v>1167</v>
      </c>
      <c r="K138" s="53" t="str">
        <f>IF(Data.[[#This Row],[Tipo de Venta]]&lt;&gt;"POS","Atendido",IF(Data.[[#This Row],[Fecha de Instalación]]&lt;&gt;"","Atendido","Ingresado"))</f>
        <v>Atendido</v>
      </c>
      <c r="L138" s="53" t="str">
        <f>Data.[[#This Row],[Estado]]</f>
        <v>Atendido</v>
      </c>
      <c r="M138" s="8" t="s">
        <v>33</v>
      </c>
      <c r="N138" s="53" t="str">
        <f>IFERROR(VLOOKUP(Data.[[#This Row],[Código LT]],Reportería.[],20,0),"")</f>
        <v/>
      </c>
      <c r="O138" s="53" t="str">
        <f>IFERROR(VLOOKUP(Data.[[#This Row],[Código LT]],Reportería.[],5,0),"")</f>
        <v/>
      </c>
      <c r="P138" s="11">
        <f>Data.[[#This Row],[GPV Mensual LT]]/COUNTIFS(H:H,Data.[[#This Row],[Ruc]],B:B,Data.[[#This Row],[Periodo]])</f>
        <v>13333.333333333334</v>
      </c>
      <c r="Q138" s="11">
        <v>120000</v>
      </c>
      <c r="R138" s="8" t="s">
        <v>69</v>
      </c>
      <c r="S138" s="53" t="str">
        <f>VLOOKUP(Data.[[#This Row],[Ejecutivo]],Productividad!D:N,11,0)</f>
        <v>41309076</v>
      </c>
      <c r="T138" s="54" t="str">
        <f>VLOOKUP(Data.[[#This Row],[DNI Ejecutivo]],Productividad!C:U,8,0)</f>
        <v>jonathan.lavado@lozapay.com.pe</v>
      </c>
      <c r="U138" s="53" t="str">
        <f>VLOOKUP(Data.[[#This Row],[DNI Ejecutivo]],Productividad!C:U,4,0)</f>
        <v>Hunter</v>
      </c>
      <c r="V138" s="53" t="str">
        <f>IFERROR(VLOOKUP(Data.[[#This Row],[DNI Ejecutivo]],Ejecutivos.[],11,0),"")</f>
        <v>Lima Jean</v>
      </c>
      <c r="W138" s="8" t="s">
        <v>64</v>
      </c>
      <c r="X138" s="53" t="str" cm="1">
        <f t="array" ref="X138">IFERROR(_xlfn.IFS(Data.[[#This Row],[Supervisor]]="Jonathan Lapoint","Norte",Data.[[#This Row],[Supervisor]]="Jorge Fuentes","Norte"),"Lima")</f>
        <v>Lima</v>
      </c>
      <c r="Y138" s="53" t="str">
        <f>VLOOKUP(Data.[[#This Row],[Supervisor]],Ejecutivos!B:S,17,0)</f>
        <v>47688341</v>
      </c>
      <c r="Z138" s="54" t="str">
        <f>VLOOKUP(Data.[[#This Row],[DNI Supervisor]],Productividad!C:U,8,0)</f>
        <v>jaguilar@lozapay.com.pe</v>
      </c>
      <c r="AA138" s="8"/>
      <c r="AB138" s="8" t="s">
        <v>70</v>
      </c>
      <c r="AC138" s="53" t="str">
        <f>IFERROR(CONCATENATE(Data.[[#This Row],[DNI Ejecutivo]],Data.[[#This Row],[Periodo]]),"")</f>
        <v>4130907646174</v>
      </c>
      <c r="AD138" s="53" t="str">
        <f>IFERROR(VLOOKUP(Data.[[#This Row],[Código LT]],Reportería.[],10,0),"")</f>
        <v/>
      </c>
      <c r="AE138" s="53" t="str">
        <f>IFERROR(VLOOKUP(Data.[[#This Row],[Código LT]],Reportería.[],11,0),"")</f>
        <v/>
      </c>
      <c r="AF138" s="13">
        <f>IFERROR(VLOOKUP(Data.[[#This Row],[Código]],Reportería!A:BV,57,0),0)</f>
        <v>0</v>
      </c>
      <c r="AG138" s="127"/>
      <c r="AH138" s="127"/>
      <c r="AI138" s="11">
        <f>IF(TEXT(Data.[[#This Row],[Periodo]],"mmm-yy")="may-26",VLOOKUP(Data.[[#This Row],[Código]],Reportería!A:BV,57,0),0)</f>
        <v>0</v>
      </c>
      <c r="AJ138" s="11"/>
      <c r="AK138" s="11"/>
      <c r="AL138" s="11">
        <f>IF(Data.[[#This Row],[Vol M0]]="",0,0)</f>
        <v>0</v>
      </c>
      <c r="AM138" s="11">
        <f>IF(Data.[[#This Row],[Vol M0]]="",0,0)</f>
        <v>0</v>
      </c>
      <c r="AN138" s="11">
        <f>IF(Data.[[#This Row],[Vol M0]]="",0,0)</f>
        <v>0</v>
      </c>
      <c r="AO138" s="11">
        <f>IF(Data.[[#This Row],[Vol M0]]="",0,0)</f>
        <v>0</v>
      </c>
      <c r="AP138" s="11">
        <f>IF(Data.[[#This Row],[Vol M0]]="",0,0)</f>
        <v>0</v>
      </c>
      <c r="AQ138" s="11">
        <f>IF(Data.[[#This Row],[Vol M0]]="",0,0)</f>
        <v>0</v>
      </c>
      <c r="AR138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39" spans="1:44" ht="14.25" customHeight="1">
      <c r="A139" s="53" t="str">
        <f>CONCATENATE(Data.[[#This Row],[Código]],Data.[[#This Row],[Ruc]])</f>
        <v>596185520616038771</v>
      </c>
      <c r="B139" s="9">
        <v>46174</v>
      </c>
      <c r="C139" s="53" t="str">
        <f>IFERROR(VLOOKUP(Data.[[#This Row],[Código LT]],Reportería.[],71,0),"")</f>
        <v/>
      </c>
      <c r="D139" s="10">
        <f>IFERROR(VLOOKUP(Data.[[#This Row],[Código]],BV!A:C,2,0),"")</f>
        <v>46160</v>
      </c>
      <c r="E139" s="10">
        <f>IFERROR(VLOOKUP(Data.[[#This Row],[Código]],BV!A:C,3,0),"")</f>
        <v>46192</v>
      </c>
      <c r="F139" s="53">
        <v>5961855</v>
      </c>
      <c r="G139" s="8" t="s">
        <v>1172</v>
      </c>
      <c r="H139" s="8">
        <v>20616038771</v>
      </c>
      <c r="I139" s="8" t="s">
        <v>1166</v>
      </c>
      <c r="J139" s="8" t="s">
        <v>1167</v>
      </c>
      <c r="K139" s="53" t="str">
        <f>IF(Data.[[#This Row],[Tipo de Venta]]&lt;&gt;"POS","Atendido",IF(Data.[[#This Row],[Fecha de Instalación]]&lt;&gt;"","Atendido","Ingresado"))</f>
        <v>Atendido</v>
      </c>
      <c r="L139" s="53" t="str">
        <f>Data.[[#This Row],[Estado]]</f>
        <v>Atendido</v>
      </c>
      <c r="M139" s="8" t="s">
        <v>33</v>
      </c>
      <c r="N139" s="53" t="str">
        <f>IFERROR(VLOOKUP(Data.[[#This Row],[Código LT]],Reportería.[],20,0),"")</f>
        <v/>
      </c>
      <c r="O139" s="53" t="str">
        <f>IFERROR(VLOOKUP(Data.[[#This Row],[Código LT]],Reportería.[],5,0),"")</f>
        <v/>
      </c>
      <c r="P139" s="11">
        <f>Data.[[#This Row],[GPV Mensual LT]]/COUNTIFS(H:H,Data.[[#This Row],[Ruc]],B:B,Data.[[#This Row],[Periodo]])</f>
        <v>13333.333333333334</v>
      </c>
      <c r="Q139" s="11">
        <v>120000</v>
      </c>
      <c r="R139" s="8" t="s">
        <v>69</v>
      </c>
      <c r="S139" s="53" t="str">
        <f>VLOOKUP(Data.[[#This Row],[Ejecutivo]],Productividad!D:N,11,0)</f>
        <v>41309076</v>
      </c>
      <c r="T139" s="54" t="str">
        <f>VLOOKUP(Data.[[#This Row],[DNI Ejecutivo]],Productividad!C:U,8,0)</f>
        <v>jonathan.lavado@lozapay.com.pe</v>
      </c>
      <c r="U139" s="53" t="str">
        <f>VLOOKUP(Data.[[#This Row],[DNI Ejecutivo]],Productividad!C:U,4,0)</f>
        <v>Hunter</v>
      </c>
      <c r="V139" s="53" t="str">
        <f>IFERROR(VLOOKUP(Data.[[#This Row],[DNI Ejecutivo]],Ejecutivos.[],11,0),"")</f>
        <v>Lima Jean</v>
      </c>
      <c r="W139" s="8" t="s">
        <v>64</v>
      </c>
      <c r="X139" s="53" t="str" cm="1">
        <f t="array" ref="X139">IFERROR(_xlfn.IFS(Data.[[#This Row],[Supervisor]]="Jonathan Lapoint","Norte",Data.[[#This Row],[Supervisor]]="Jorge Fuentes","Norte"),"Lima")</f>
        <v>Lima</v>
      </c>
      <c r="Y139" s="53" t="str">
        <f>VLOOKUP(Data.[[#This Row],[Supervisor]],Ejecutivos!B:S,17,0)</f>
        <v>47688341</v>
      </c>
      <c r="Z139" s="54" t="str">
        <f>VLOOKUP(Data.[[#This Row],[DNI Supervisor]],Productividad!C:U,8,0)</f>
        <v>jaguilar@lozapay.com.pe</v>
      </c>
      <c r="AA139" s="8"/>
      <c r="AB139" s="8" t="s">
        <v>70</v>
      </c>
      <c r="AC139" s="53" t="str">
        <f>IFERROR(CONCATENATE(Data.[[#This Row],[DNI Ejecutivo]],Data.[[#This Row],[Periodo]]),"")</f>
        <v>4130907646174</v>
      </c>
      <c r="AD139" s="53" t="str">
        <f>IFERROR(VLOOKUP(Data.[[#This Row],[Código LT]],Reportería.[],10,0),"")</f>
        <v/>
      </c>
      <c r="AE139" s="53" t="str">
        <f>IFERROR(VLOOKUP(Data.[[#This Row],[Código LT]],Reportería.[],11,0),"")</f>
        <v/>
      </c>
      <c r="AF139" s="13">
        <f>IFERROR(VLOOKUP(Data.[[#This Row],[Código]],Reportería!A:BV,57,0),0)</f>
        <v>0</v>
      </c>
      <c r="AG139" s="127"/>
      <c r="AH139" s="127"/>
      <c r="AI139" s="11">
        <f>IF(TEXT(Data.[[#This Row],[Periodo]],"mmm-yy")="may-26",VLOOKUP(Data.[[#This Row],[Código]],Reportería!A:BV,57,0),0)</f>
        <v>0</v>
      </c>
      <c r="AJ139" s="11"/>
      <c r="AK139" s="11"/>
      <c r="AL139" s="11">
        <f>IF(Data.[[#This Row],[Vol M0]]="",0,0)</f>
        <v>0</v>
      </c>
      <c r="AM139" s="11">
        <f>IF(Data.[[#This Row],[Vol M0]]="",0,0)</f>
        <v>0</v>
      </c>
      <c r="AN139" s="11">
        <f>IF(Data.[[#This Row],[Vol M0]]="",0,0)</f>
        <v>0</v>
      </c>
      <c r="AO139" s="11">
        <f>IF(Data.[[#This Row],[Vol M0]]="",0,0)</f>
        <v>0</v>
      </c>
      <c r="AP139" s="11">
        <f>IF(Data.[[#This Row],[Vol M0]]="",0,0)</f>
        <v>0</v>
      </c>
      <c r="AQ139" s="11">
        <f>IF(Data.[[#This Row],[Vol M0]]="",0,0)</f>
        <v>0</v>
      </c>
      <c r="AR139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40" spans="1:44" ht="14.25" customHeight="1">
      <c r="A140" s="53" t="str">
        <f>CONCATENATE(Data.[[#This Row],[Código]],Data.[[#This Row],[Ruc]])</f>
        <v>596184920616038771</v>
      </c>
      <c r="B140" s="9">
        <v>46174</v>
      </c>
      <c r="C140" s="53" t="str">
        <f>IFERROR(VLOOKUP(Data.[[#This Row],[Código LT]],Reportería.[],71,0),"")</f>
        <v/>
      </c>
      <c r="D140" s="10">
        <f>IFERROR(VLOOKUP(Data.[[#This Row],[Código]],BV!A:C,2,0),"")</f>
        <v>46160</v>
      </c>
      <c r="E140" s="10">
        <f>IFERROR(VLOOKUP(Data.[[#This Row],[Código]],BV!A:C,3,0),"")</f>
        <v>46192</v>
      </c>
      <c r="F140" s="53">
        <v>5961849</v>
      </c>
      <c r="G140" s="8" t="s">
        <v>1173</v>
      </c>
      <c r="H140" s="8">
        <v>20616038771</v>
      </c>
      <c r="I140" s="8" t="s">
        <v>1166</v>
      </c>
      <c r="J140" s="8" t="s">
        <v>1167</v>
      </c>
      <c r="K140" s="53" t="str">
        <f>IF(Data.[[#This Row],[Tipo de Venta]]&lt;&gt;"POS","Atendido",IF(Data.[[#This Row],[Fecha de Instalación]]&lt;&gt;"","Atendido","Ingresado"))</f>
        <v>Atendido</v>
      </c>
      <c r="L140" s="53" t="str">
        <f>Data.[[#This Row],[Estado]]</f>
        <v>Atendido</v>
      </c>
      <c r="M140" s="8" t="s">
        <v>33</v>
      </c>
      <c r="N140" s="53" t="str">
        <f>IFERROR(VLOOKUP(Data.[[#This Row],[Código LT]],Reportería.[],20,0),"")</f>
        <v/>
      </c>
      <c r="O140" s="53" t="str">
        <f>IFERROR(VLOOKUP(Data.[[#This Row],[Código LT]],Reportería.[],5,0),"")</f>
        <v/>
      </c>
      <c r="P140" s="11">
        <f>Data.[[#This Row],[GPV Mensual LT]]/COUNTIFS(H:H,Data.[[#This Row],[Ruc]],B:B,Data.[[#This Row],[Periodo]])</f>
        <v>13333.333333333334</v>
      </c>
      <c r="Q140" s="11">
        <v>120000</v>
      </c>
      <c r="R140" s="8" t="s">
        <v>69</v>
      </c>
      <c r="S140" s="53" t="str">
        <f>VLOOKUP(Data.[[#This Row],[Ejecutivo]],Productividad!D:N,11,0)</f>
        <v>41309076</v>
      </c>
      <c r="T140" s="54" t="str">
        <f>VLOOKUP(Data.[[#This Row],[DNI Ejecutivo]],Productividad!C:U,8,0)</f>
        <v>jonathan.lavado@lozapay.com.pe</v>
      </c>
      <c r="U140" s="53" t="str">
        <f>VLOOKUP(Data.[[#This Row],[DNI Ejecutivo]],Productividad!C:U,4,0)</f>
        <v>Hunter</v>
      </c>
      <c r="V140" s="53" t="str">
        <f>IFERROR(VLOOKUP(Data.[[#This Row],[DNI Ejecutivo]],Ejecutivos.[],11,0),"")</f>
        <v>Lima Jean</v>
      </c>
      <c r="W140" s="8" t="s">
        <v>64</v>
      </c>
      <c r="X140" s="53" t="str" cm="1">
        <f t="array" ref="X140">IFERROR(_xlfn.IFS(Data.[[#This Row],[Supervisor]]="Jonathan Lapoint","Norte",Data.[[#This Row],[Supervisor]]="Jorge Fuentes","Norte"),"Lima")</f>
        <v>Lima</v>
      </c>
      <c r="Y140" s="53" t="str">
        <f>VLOOKUP(Data.[[#This Row],[Supervisor]],Ejecutivos!B:S,17,0)</f>
        <v>47688341</v>
      </c>
      <c r="Z140" s="54" t="str">
        <f>VLOOKUP(Data.[[#This Row],[DNI Supervisor]],Productividad!C:U,8,0)</f>
        <v>jaguilar@lozapay.com.pe</v>
      </c>
      <c r="AA140" s="8"/>
      <c r="AB140" s="8" t="s">
        <v>70</v>
      </c>
      <c r="AC140" s="53" t="str">
        <f>IFERROR(CONCATENATE(Data.[[#This Row],[DNI Ejecutivo]],Data.[[#This Row],[Periodo]]),"")</f>
        <v>4130907646174</v>
      </c>
      <c r="AD140" s="53" t="str">
        <f>IFERROR(VLOOKUP(Data.[[#This Row],[Código LT]],Reportería.[],10,0),"")</f>
        <v/>
      </c>
      <c r="AE140" s="53" t="str">
        <f>IFERROR(VLOOKUP(Data.[[#This Row],[Código LT]],Reportería.[],11,0),"")</f>
        <v/>
      </c>
      <c r="AF140" s="13">
        <f>IFERROR(VLOOKUP(Data.[[#This Row],[Código]],Reportería!A:BV,57,0),0)</f>
        <v>0</v>
      </c>
      <c r="AG140" s="127"/>
      <c r="AH140" s="127"/>
      <c r="AI140" s="11">
        <f>IF(TEXT(Data.[[#This Row],[Periodo]],"mmm-yy")="may-26",VLOOKUP(Data.[[#This Row],[Código]],Reportería!A:BV,57,0),0)</f>
        <v>0</v>
      </c>
      <c r="AJ140" s="11"/>
      <c r="AK140" s="11"/>
      <c r="AL140" s="11">
        <f>IF(Data.[[#This Row],[Vol M0]]="",0,0)</f>
        <v>0</v>
      </c>
      <c r="AM140" s="11">
        <f>IF(Data.[[#This Row],[Vol M0]]="",0,0)</f>
        <v>0</v>
      </c>
      <c r="AN140" s="11">
        <f>IF(Data.[[#This Row],[Vol M0]]="",0,0)</f>
        <v>0</v>
      </c>
      <c r="AO140" s="11">
        <f>IF(Data.[[#This Row],[Vol M0]]="",0,0)</f>
        <v>0</v>
      </c>
      <c r="AP140" s="11">
        <f>IF(Data.[[#This Row],[Vol M0]]="",0,0)</f>
        <v>0</v>
      </c>
      <c r="AQ140" s="11">
        <f>IF(Data.[[#This Row],[Vol M0]]="",0,0)</f>
        <v>0</v>
      </c>
      <c r="AR140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41" spans="1:44" ht="14.25" customHeight="1">
      <c r="A141" s="53" t="str">
        <f>CONCATENATE(Data.[[#This Row],[Código]],Data.[[#This Row],[Ruc]])</f>
        <v>596185120616038771</v>
      </c>
      <c r="B141" s="9">
        <v>46174</v>
      </c>
      <c r="C141" s="53" t="str">
        <f>IFERROR(VLOOKUP(Data.[[#This Row],[Código LT]],Reportería.[],71,0),"")</f>
        <v/>
      </c>
      <c r="D141" s="10">
        <f>IFERROR(VLOOKUP(Data.[[#This Row],[Código]],BV!A:C,2,0),"")</f>
        <v>46160</v>
      </c>
      <c r="E141" s="10">
        <f>IFERROR(VLOOKUP(Data.[[#This Row],[Código]],BV!A:C,3,0),"")</f>
        <v>46192</v>
      </c>
      <c r="F141" s="53">
        <v>5961851</v>
      </c>
      <c r="G141" s="8" t="s">
        <v>1174</v>
      </c>
      <c r="H141" s="8">
        <v>20616038771</v>
      </c>
      <c r="I141" s="8" t="s">
        <v>1166</v>
      </c>
      <c r="J141" s="8" t="s">
        <v>1167</v>
      </c>
      <c r="K141" s="53" t="str">
        <f>IF(Data.[[#This Row],[Tipo de Venta]]&lt;&gt;"POS","Atendido",IF(Data.[[#This Row],[Fecha de Instalación]]&lt;&gt;"","Atendido","Ingresado"))</f>
        <v>Atendido</v>
      </c>
      <c r="L141" s="53" t="str">
        <f>Data.[[#This Row],[Estado]]</f>
        <v>Atendido</v>
      </c>
      <c r="M141" s="8" t="s">
        <v>33</v>
      </c>
      <c r="N141" s="53" t="str">
        <f>IFERROR(VLOOKUP(Data.[[#This Row],[Código LT]],Reportería.[],20,0),"")</f>
        <v/>
      </c>
      <c r="O141" s="53" t="str">
        <f>IFERROR(VLOOKUP(Data.[[#This Row],[Código LT]],Reportería.[],5,0),"")</f>
        <v/>
      </c>
      <c r="P141" s="11">
        <f>Data.[[#This Row],[GPV Mensual LT]]/COUNTIFS(H:H,Data.[[#This Row],[Ruc]],B:B,Data.[[#This Row],[Periodo]])</f>
        <v>13333.333333333334</v>
      </c>
      <c r="Q141" s="11">
        <v>120000</v>
      </c>
      <c r="R141" s="8" t="s">
        <v>69</v>
      </c>
      <c r="S141" s="53" t="str">
        <f>VLOOKUP(Data.[[#This Row],[Ejecutivo]],Productividad!D:N,11,0)</f>
        <v>41309076</v>
      </c>
      <c r="T141" s="54" t="str">
        <f>VLOOKUP(Data.[[#This Row],[DNI Ejecutivo]],Productividad!C:U,8,0)</f>
        <v>jonathan.lavado@lozapay.com.pe</v>
      </c>
      <c r="U141" s="53" t="str">
        <f>VLOOKUP(Data.[[#This Row],[DNI Ejecutivo]],Productividad!C:U,4,0)</f>
        <v>Hunter</v>
      </c>
      <c r="V141" s="53" t="str">
        <f>IFERROR(VLOOKUP(Data.[[#This Row],[DNI Ejecutivo]],Ejecutivos.[],11,0),"")</f>
        <v>Lima Jean</v>
      </c>
      <c r="W141" s="8" t="s">
        <v>64</v>
      </c>
      <c r="X141" s="53" t="str" cm="1">
        <f t="array" ref="X141">IFERROR(_xlfn.IFS(Data.[[#This Row],[Supervisor]]="Jonathan Lapoint","Norte",Data.[[#This Row],[Supervisor]]="Jorge Fuentes","Norte"),"Lima")</f>
        <v>Lima</v>
      </c>
      <c r="Y141" s="53" t="str">
        <f>VLOOKUP(Data.[[#This Row],[Supervisor]],Ejecutivos!B:S,17,0)</f>
        <v>47688341</v>
      </c>
      <c r="Z141" s="54" t="str">
        <f>VLOOKUP(Data.[[#This Row],[DNI Supervisor]],Productividad!C:U,8,0)</f>
        <v>jaguilar@lozapay.com.pe</v>
      </c>
      <c r="AA141" s="8"/>
      <c r="AB141" s="8" t="s">
        <v>70</v>
      </c>
      <c r="AC141" s="53" t="str">
        <f>IFERROR(CONCATENATE(Data.[[#This Row],[DNI Ejecutivo]],Data.[[#This Row],[Periodo]]),"")</f>
        <v>4130907646174</v>
      </c>
      <c r="AD141" s="53" t="str">
        <f>IFERROR(VLOOKUP(Data.[[#This Row],[Código LT]],Reportería.[],10,0),"")</f>
        <v/>
      </c>
      <c r="AE141" s="53" t="str">
        <f>IFERROR(VLOOKUP(Data.[[#This Row],[Código LT]],Reportería.[],11,0),"")</f>
        <v/>
      </c>
      <c r="AF141" s="13">
        <f>IFERROR(VLOOKUP(Data.[[#This Row],[Código]],Reportería!A:BV,57,0),0)</f>
        <v>0</v>
      </c>
      <c r="AG141" s="127"/>
      <c r="AH141" s="127"/>
      <c r="AI141" s="11">
        <f>IF(TEXT(Data.[[#This Row],[Periodo]],"mmm-yy")="may-26",VLOOKUP(Data.[[#This Row],[Código]],Reportería!A:BV,57,0),0)</f>
        <v>0</v>
      </c>
      <c r="AJ141" s="11"/>
      <c r="AK141" s="11"/>
      <c r="AL141" s="11">
        <f>IF(Data.[[#This Row],[Vol M0]]="",0,0)</f>
        <v>0</v>
      </c>
      <c r="AM141" s="11">
        <f>IF(Data.[[#This Row],[Vol M0]]="",0,0)</f>
        <v>0</v>
      </c>
      <c r="AN141" s="11">
        <f>IF(Data.[[#This Row],[Vol M0]]="",0,0)</f>
        <v>0</v>
      </c>
      <c r="AO141" s="11">
        <f>IF(Data.[[#This Row],[Vol M0]]="",0,0)</f>
        <v>0</v>
      </c>
      <c r="AP141" s="11">
        <f>IF(Data.[[#This Row],[Vol M0]]="",0,0)</f>
        <v>0</v>
      </c>
      <c r="AQ141" s="11">
        <f>IF(Data.[[#This Row],[Vol M0]]="",0,0)</f>
        <v>0</v>
      </c>
      <c r="AR141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42" spans="1:44" ht="14.25" customHeight="1">
      <c r="A142" s="53" t="str">
        <f>CONCATENATE(Data.[[#This Row],[Código]],Data.[[#This Row],[Ruc]])</f>
        <v>596185420616038771</v>
      </c>
      <c r="B142" s="9">
        <v>46174</v>
      </c>
      <c r="C142" s="53" t="str">
        <f>IFERROR(VLOOKUP(Data.[[#This Row],[Código LT]],Reportería.[],71,0),"")</f>
        <v/>
      </c>
      <c r="D142" s="10">
        <f>IFERROR(VLOOKUP(Data.[[#This Row],[Código]],BV!A:C,2,0),"")</f>
        <v>46160</v>
      </c>
      <c r="E142" s="10">
        <f>IFERROR(VLOOKUP(Data.[[#This Row],[Código]],BV!A:C,3,0),"")</f>
        <v>46192</v>
      </c>
      <c r="F142" s="53">
        <v>5961854</v>
      </c>
      <c r="G142" s="8" t="s">
        <v>1175</v>
      </c>
      <c r="H142" s="8">
        <v>20616038771</v>
      </c>
      <c r="I142" s="8" t="s">
        <v>1166</v>
      </c>
      <c r="J142" s="8" t="s">
        <v>1167</v>
      </c>
      <c r="K142" s="53" t="str">
        <f>IF(Data.[[#This Row],[Tipo de Venta]]&lt;&gt;"POS","Atendido",IF(Data.[[#This Row],[Fecha de Instalación]]&lt;&gt;"","Atendido","Ingresado"))</f>
        <v>Atendido</v>
      </c>
      <c r="L142" s="53" t="str">
        <f>Data.[[#This Row],[Estado]]</f>
        <v>Atendido</v>
      </c>
      <c r="M142" s="8" t="s">
        <v>33</v>
      </c>
      <c r="N142" s="53" t="str">
        <f>IFERROR(VLOOKUP(Data.[[#This Row],[Código LT]],Reportería.[],20,0),"")</f>
        <v/>
      </c>
      <c r="O142" s="53" t="str">
        <f>IFERROR(VLOOKUP(Data.[[#This Row],[Código LT]],Reportería.[],5,0),"")</f>
        <v/>
      </c>
      <c r="P142" s="11">
        <f>Data.[[#This Row],[GPV Mensual LT]]/COUNTIFS(H:H,Data.[[#This Row],[Ruc]],B:B,Data.[[#This Row],[Periodo]])</f>
        <v>13333.333333333334</v>
      </c>
      <c r="Q142" s="11">
        <v>120000</v>
      </c>
      <c r="R142" s="8" t="s">
        <v>69</v>
      </c>
      <c r="S142" s="53" t="str">
        <f>VLOOKUP(Data.[[#This Row],[Ejecutivo]],Productividad!D:N,11,0)</f>
        <v>41309076</v>
      </c>
      <c r="T142" s="54" t="str">
        <f>VLOOKUP(Data.[[#This Row],[DNI Ejecutivo]],Productividad!C:U,8,0)</f>
        <v>jonathan.lavado@lozapay.com.pe</v>
      </c>
      <c r="U142" s="53" t="str">
        <f>VLOOKUP(Data.[[#This Row],[DNI Ejecutivo]],Productividad!C:U,4,0)</f>
        <v>Hunter</v>
      </c>
      <c r="V142" s="53" t="str">
        <f>IFERROR(VLOOKUP(Data.[[#This Row],[DNI Ejecutivo]],Ejecutivos.[],11,0),"")</f>
        <v>Lima Jean</v>
      </c>
      <c r="W142" s="8" t="s">
        <v>64</v>
      </c>
      <c r="X142" s="53" t="str" cm="1">
        <f t="array" ref="X142">IFERROR(_xlfn.IFS(Data.[[#This Row],[Supervisor]]="Jonathan Lapoint","Norte",Data.[[#This Row],[Supervisor]]="Jorge Fuentes","Norte"),"Lima")</f>
        <v>Lima</v>
      </c>
      <c r="Y142" s="53" t="str">
        <f>VLOOKUP(Data.[[#This Row],[Supervisor]],Ejecutivos!B:S,17,0)</f>
        <v>47688341</v>
      </c>
      <c r="Z142" s="54" t="str">
        <f>VLOOKUP(Data.[[#This Row],[DNI Supervisor]],Productividad!C:U,8,0)</f>
        <v>jaguilar@lozapay.com.pe</v>
      </c>
      <c r="AA142" s="8"/>
      <c r="AB142" s="8" t="s">
        <v>70</v>
      </c>
      <c r="AC142" s="53" t="str">
        <f>IFERROR(CONCATENATE(Data.[[#This Row],[DNI Ejecutivo]],Data.[[#This Row],[Periodo]]),"")</f>
        <v>4130907646174</v>
      </c>
      <c r="AD142" s="53" t="str">
        <f>IFERROR(VLOOKUP(Data.[[#This Row],[Código LT]],Reportería.[],10,0),"")</f>
        <v/>
      </c>
      <c r="AE142" s="53" t="str">
        <f>IFERROR(VLOOKUP(Data.[[#This Row],[Código LT]],Reportería.[],11,0),"")</f>
        <v/>
      </c>
      <c r="AF142" s="13">
        <f>IFERROR(VLOOKUP(Data.[[#This Row],[Código]],Reportería!A:BV,57,0),0)</f>
        <v>0</v>
      </c>
      <c r="AG142" s="127"/>
      <c r="AH142" s="127"/>
      <c r="AI142" s="11">
        <f>IF(TEXT(Data.[[#This Row],[Periodo]],"mmm-yy")="may-26",VLOOKUP(Data.[[#This Row],[Código]],Reportería!A:BV,57,0),0)</f>
        <v>0</v>
      </c>
      <c r="AJ142" s="11"/>
      <c r="AK142" s="11"/>
      <c r="AL142" s="11">
        <f>IF(Data.[[#This Row],[Vol M0]]="",0,0)</f>
        <v>0</v>
      </c>
      <c r="AM142" s="11">
        <f>IF(Data.[[#This Row],[Vol M0]]="",0,0)</f>
        <v>0</v>
      </c>
      <c r="AN142" s="11">
        <f>IF(Data.[[#This Row],[Vol M0]]="",0,0)</f>
        <v>0</v>
      </c>
      <c r="AO142" s="11">
        <f>IF(Data.[[#This Row],[Vol M0]]="",0,0)</f>
        <v>0</v>
      </c>
      <c r="AP142" s="11">
        <f>IF(Data.[[#This Row],[Vol M0]]="",0,0)</f>
        <v>0</v>
      </c>
      <c r="AQ142" s="11">
        <f>IF(Data.[[#This Row],[Vol M0]]="",0,0)</f>
        <v>0</v>
      </c>
      <c r="AR142" s="11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43" spans="1:44" ht="14.25" customHeight="1">
      <c r="A143" s="55" t="str">
        <f>CONCATENATE(Data.[[#This Row],[Código]],Data.[[#This Row],[Ruc]])</f>
        <v>596161220614969564</v>
      </c>
      <c r="B143" s="9">
        <v>46174</v>
      </c>
      <c r="C143" s="55" t="str">
        <f>IFERROR(VLOOKUP(Data.[[#This Row],[Código LT]],Reportería.[],71,0),"")</f>
        <v/>
      </c>
      <c r="D143" s="52">
        <f>IFERROR(VLOOKUP(Data.[[#This Row],[Código]],BV!A:C,2,0),"")</f>
        <v>46160</v>
      </c>
      <c r="E143" s="52">
        <f>IFERROR(VLOOKUP(Data.[[#This Row],[Código]],BV!A:C,3,0),"")</f>
        <v>46191</v>
      </c>
      <c r="F143" s="55">
        <v>5961612</v>
      </c>
      <c r="G143" s="12" t="s">
        <v>1176</v>
      </c>
      <c r="H143" s="12">
        <v>20614969564</v>
      </c>
      <c r="I143" s="12" t="s">
        <v>1177</v>
      </c>
      <c r="J143" s="12" t="s">
        <v>1178</v>
      </c>
      <c r="K143" s="55" t="str">
        <f>IF(Data.[[#This Row],[Tipo de Venta]]&lt;&gt;"POS","Atendido",IF(Data.[[#This Row],[Fecha de Instalación]]&lt;&gt;"","Atendido","Ingresado"))</f>
        <v>Atendido</v>
      </c>
      <c r="L143" s="55" t="str">
        <f>Data.[[#This Row],[Estado]]</f>
        <v>Atendido</v>
      </c>
      <c r="M143" s="8" t="s">
        <v>33</v>
      </c>
      <c r="N143" s="55" t="str">
        <f>IFERROR(VLOOKUP(Data.[[#This Row],[Código LT]],Reportería.[],20,0),"")</f>
        <v/>
      </c>
      <c r="O143" s="55" t="str">
        <f>IFERROR(VLOOKUP(Data.[[#This Row],[Código LT]],Reportería.[],5,0),"")</f>
        <v/>
      </c>
      <c r="P143" s="13">
        <f>Data.[[#This Row],[GPV Mensual LT]]/COUNTIFS(H:H,Data.[[#This Row],[Ruc]],B:B,Data.[[#This Row],[Periodo]])</f>
        <v>60000</v>
      </c>
      <c r="Q143" s="13">
        <v>60000</v>
      </c>
      <c r="R143" s="12" t="s">
        <v>47</v>
      </c>
      <c r="S143" s="55" t="str">
        <f>VLOOKUP(Data.[[#This Row],[Ejecutivo]],Productividad!D:N,11,0)</f>
        <v>44881019</v>
      </c>
      <c r="T143" s="56" t="str">
        <f>VLOOKUP(Data.[[#This Row],[DNI Ejecutivo]],Productividad!C:U,8,0)</f>
        <v>jackeline.matos@lozapay.com.pe</v>
      </c>
      <c r="U143" s="55" t="str">
        <f>VLOOKUP(Data.[[#This Row],[DNI Ejecutivo]],Productividad!C:U,4,0)</f>
        <v>Senior</v>
      </c>
      <c r="V143" s="55" t="str">
        <f>IFERROR(VLOOKUP(Data.[[#This Row],[DNI Ejecutivo]],Ejecutivos.[],11,0),"")</f>
        <v>Lima Hamm</v>
      </c>
      <c r="W143" s="12" t="s">
        <v>48</v>
      </c>
      <c r="X143" s="55" t="str" cm="1">
        <f t="array" ref="X143">IFERROR(_xlfn.IFS(Data.[[#This Row],[Supervisor]]="Jonathan Lapoint","Norte",Data.[[#This Row],[Supervisor]]="Jorge Fuentes","Norte"),"Lima")</f>
        <v>Lima</v>
      </c>
      <c r="Y143" s="55" t="str">
        <f>VLOOKUP(Data.[[#This Row],[Supervisor]],Ejecutivos!B:S,17,0)</f>
        <v>44818200</v>
      </c>
      <c r="Z143" s="56" t="str">
        <f>VLOOKUP(Data.[[#This Row],[DNI Supervisor]],Productividad!C:U,8,0)</f>
        <v>hramirezp@lozapay.com.pe</v>
      </c>
      <c r="AA143" s="12"/>
      <c r="AB143" s="12" t="s">
        <v>49</v>
      </c>
      <c r="AC143" s="55" t="str">
        <f>IFERROR(CONCATENATE(Data.[[#This Row],[DNI Ejecutivo]],Data.[[#This Row],[Periodo]]),"")</f>
        <v>4488101946174</v>
      </c>
      <c r="AD143" s="55" t="str">
        <f>IFERROR(VLOOKUP(Data.[[#This Row],[Código LT]],Reportería.[],10,0),"")</f>
        <v/>
      </c>
      <c r="AE143" s="55" t="str">
        <f>IFERROR(VLOOKUP(Data.[[#This Row],[Código LT]],Reportería.[],11,0),"")</f>
        <v/>
      </c>
      <c r="AF143" s="13">
        <f>IFERROR(VLOOKUP(Data.[[#This Row],[Código]],Reportería!A:BV,57,0),0)</f>
        <v>0</v>
      </c>
      <c r="AG143" s="127"/>
      <c r="AH143" s="127"/>
      <c r="AI143" s="13">
        <f>IF(TEXT(Data.[[#This Row],[Periodo]],"mmm-yy")="may-26",VLOOKUP(Data.[[#This Row],[Código]],Reportería!A:BV,57,0),0)</f>
        <v>0</v>
      </c>
      <c r="AJ143" s="13"/>
      <c r="AK143" s="13"/>
      <c r="AL143" s="13">
        <f>IF(Data.[[#This Row],[Vol M0]]="",0,0)</f>
        <v>0</v>
      </c>
      <c r="AM143" s="13">
        <f>IF(Data.[[#This Row],[Vol M0]]="",0,0)</f>
        <v>0</v>
      </c>
      <c r="AN143" s="13">
        <f>IF(Data.[[#This Row],[Vol M0]]="",0,0)</f>
        <v>0</v>
      </c>
      <c r="AO143" s="13">
        <f>IF(Data.[[#This Row],[Vol M0]]="",0,0)</f>
        <v>0</v>
      </c>
      <c r="AP143" s="13">
        <f>IF(Data.[[#This Row],[Vol M0]]="",0,0)</f>
        <v>0</v>
      </c>
      <c r="AQ143" s="13">
        <f>IF(Data.[[#This Row],[Vol M0]]="",0,0)</f>
        <v>0</v>
      </c>
      <c r="AR143" s="13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  <row r="144" spans="1:44" ht="14.25" customHeight="1">
      <c r="A144" s="55" t="str">
        <f>CONCATENATE(Data.[[#This Row],[Código]],Data.[[#This Row],[Ruc]])</f>
        <v>105906220560121921</v>
      </c>
      <c r="B144" s="9">
        <v>46174</v>
      </c>
      <c r="C144" s="55" t="str">
        <f>IFERROR(VLOOKUP(Data.[[#This Row],[Código LT]],Reportería.[],71,0),"")</f>
        <v/>
      </c>
      <c r="D144" s="52">
        <f>IFERROR(VLOOKUP(Data.[[#This Row],[Código]],BV!A:C,2,0),"")</f>
        <v>46183</v>
      </c>
      <c r="E144" s="52">
        <f>IFERROR(VLOOKUP(Data.[[#This Row],[Código]],BV!A:C,3,0),"")</f>
        <v>0</v>
      </c>
      <c r="F144" s="55">
        <v>1059062</v>
      </c>
      <c r="G144" s="12"/>
      <c r="H144" s="12">
        <v>20560121921</v>
      </c>
      <c r="I144" s="12" t="s">
        <v>1179</v>
      </c>
      <c r="J144" s="12" t="s">
        <v>1180</v>
      </c>
      <c r="K144" s="55" t="str">
        <f>IF(Data.[[#This Row],[Tipo de Venta]]&lt;&gt;"POS","Atendido",IF(Data.[[#This Row],[Fecha de Instalación]]&lt;&gt;"","Atendido","Ingresado"))</f>
        <v>Atendido</v>
      </c>
      <c r="L144" s="55" t="str">
        <f>Data.[[#This Row],[Estado]]</f>
        <v>Atendido</v>
      </c>
      <c r="M144" s="8" t="s">
        <v>33</v>
      </c>
      <c r="N144" s="55" t="str">
        <f>IFERROR(VLOOKUP(Data.[[#This Row],[Código LT]],Reportería.[],20,0),"")</f>
        <v/>
      </c>
      <c r="O144" s="55" t="str">
        <f>IFERROR(VLOOKUP(Data.[[#This Row],[Código LT]],Reportería.[],5,0),"")</f>
        <v/>
      </c>
      <c r="P144" s="13">
        <f>Data.[[#This Row],[GPV Mensual LT]]/COUNTIFS(H:H,Data.[[#This Row],[Ruc]],B:B,Data.[[#This Row],[Periodo]])</f>
        <v>50000</v>
      </c>
      <c r="Q144" s="13">
        <v>50000</v>
      </c>
      <c r="R144" s="12" t="s">
        <v>52</v>
      </c>
      <c r="S144" s="55" t="str">
        <f>VLOOKUP(Data.[[#This Row],[Ejecutivo]],Productividad!D:N,11,0)</f>
        <v>47045287</v>
      </c>
      <c r="T144" s="56" t="str">
        <f>VLOOKUP(Data.[[#This Row],[DNI Ejecutivo]],Productividad!C:U,8,0)</f>
        <v>asifuentesu@lozapay.com.pe</v>
      </c>
      <c r="U144" s="55" t="str">
        <f>VLOOKUP(Data.[[#This Row],[DNI Ejecutivo]],Productividad!C:U,4,0)</f>
        <v>Elite</v>
      </c>
      <c r="V144" s="55" t="str">
        <f>IFERROR(VLOOKUP(Data.[[#This Row],[DNI Ejecutivo]],Ejecutivos.[],11,0),"")</f>
        <v>Norte Fuentes</v>
      </c>
      <c r="W144" s="12" t="s">
        <v>42</v>
      </c>
      <c r="X144" s="55" t="str" cm="1">
        <f t="array" ref="X144">IFERROR(_xlfn.IFS(Data.[[#This Row],[Supervisor]]="Jonathan Lapoint","Norte",Data.[[#This Row],[Supervisor]]="Jorge Fuentes","Norte"),"Lima")</f>
        <v>Norte</v>
      </c>
      <c r="Y144" s="55" t="str">
        <f>VLOOKUP(Data.[[#This Row],[Supervisor]],Ejecutivos!B:S,17,0)</f>
        <v>70059865</v>
      </c>
      <c r="Z144" s="56" t="str">
        <f>VLOOKUP(Data.[[#This Row],[DNI Supervisor]],Productividad!C:U,8,0)</f>
        <v>jfuentes@lozapay.com.pe</v>
      </c>
      <c r="AA144" s="12"/>
      <c r="AB144" s="12" t="s">
        <v>295</v>
      </c>
      <c r="AC144" s="55" t="str">
        <f>IFERROR(CONCATENATE(Data.[[#This Row],[DNI Ejecutivo]],Data.[[#This Row],[Periodo]]),"")</f>
        <v>4704528746174</v>
      </c>
      <c r="AD144" s="55" t="str">
        <f>IFERROR(VLOOKUP(Data.[[#This Row],[Código LT]],Reportería.[],10,0),"")</f>
        <v/>
      </c>
      <c r="AE144" s="55" t="str">
        <f>IFERROR(VLOOKUP(Data.[[#This Row],[Código LT]],Reportería.[],11,0),"")</f>
        <v/>
      </c>
      <c r="AF144" s="13">
        <f>IFERROR(VLOOKUP(Data.[[#This Row],[Código]],Reportería!A:BV,57,0),0)</f>
        <v>0</v>
      </c>
      <c r="AG144" s="13"/>
      <c r="AH144" s="13"/>
      <c r="AI144" s="13">
        <f>IF(TEXT(Data.[[#This Row],[Periodo]],"mmm-yy")="may-26",VLOOKUP(Data.[[#This Row],[Código]],Reportería!A:BV,57,0),0)</f>
        <v>0</v>
      </c>
      <c r="AJ144" s="13"/>
      <c r="AK144" s="13"/>
      <c r="AL144" s="13">
        <f>IF(Data.[[#This Row],[Vol M0]]="",0,0)</f>
        <v>0</v>
      </c>
      <c r="AM144" s="13">
        <f>IF(Data.[[#This Row],[Vol M0]]="",0,0)</f>
        <v>0</v>
      </c>
      <c r="AN144" s="13">
        <f>IF(Data.[[#This Row],[Vol M0]]="",0,0)</f>
        <v>0</v>
      </c>
      <c r="AO144" s="13">
        <f>IF(Data.[[#This Row],[Vol M0]]="",0,0)</f>
        <v>0</v>
      </c>
      <c r="AP144" s="13">
        <f>IF(Data.[[#This Row],[Vol M0]]="",0,0)</f>
        <v>0</v>
      </c>
      <c r="AQ144" s="13">
        <f>IF(Data.[[#This Row],[Vol M0]]="",0,0)</f>
        <v>0</v>
      </c>
      <c r="AR144" s="13">
        <f>IFERROR(IF(OR(AND(OR(Data.[[#This Row],[Categoría]]="Hunter",Data.[[#This Row],[Categoría]]="Senior"),OR(SUMIFS(AF:AF,H:H,Data.[[#This Row],[Ruc]],B:B,Data.[[#This Row],[Periodo]])&gt;=15000,SUMIFS(AI:AI,H:H,Data.[[#This Row],[Ruc]],B:B,Data.[[#This Row],[Periodo]])&gt;=15000,SUMIFS(AL:AL,H:H,Data.[[#This Row],[Ruc]],B:B,Data.[[#This Row],[Periodo]])&gt;=15000,SUMIFS(AO:AO,H:H,Data.[[#This Row],[Ruc]],B:B,Data.[[#This Row],[Periodo]])&gt;=15000)),AND(Data.[[#This Row],[Categoría]]="Elite",OR(SUMIFS(AF:AF,H:H,Data.[[#This Row],[Ruc]],B:B,Data.[[#This Row],[Periodo]])&gt;=25000,SUMIFS(AI:AI,H:H,Data.[[#This Row],[Ruc]],B:B,Data.[[#This Row],[Periodo]])&gt;=25000,SUMIFS(AL:AL,H:H,Data.[[#This Row],[Ruc]],B:B,Data.[[#This Row],[Periodo]])&gt;=25000,SUMIFS(AO:AO,H:H,Data.[[#This Row],[Ruc]],B:B,Data.[[#This Row],[Periodo]])&gt;=25000))),1,0)/COUNTIFS(H:H,Data.[[#This Row],[Ruc]],B:B,Data.[[#This Row],[Periodo]]),0)</f>
        <v>0</v>
      </c>
    </row>
  </sheetData>
  <phoneticPr fontId="6" type="noConversion"/>
  <conditionalFormatting sqref="F1:F1048576">
    <cfRule type="duplicateValues" dxfId="491" priority="1"/>
  </conditionalFormatting>
  <conditionalFormatting sqref="H2:H144">
    <cfRule type="duplicateValues" dxfId="490" priority="123"/>
  </conditionalFormatting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7CA69-FE60-436A-96FE-0C24FF5DD2C9}">
  <sheetPr codeName="Hoja2"/>
  <dimension ref="A1:BV107"/>
  <sheetViews>
    <sheetView showGridLines="0" topLeftCell="BB1" zoomScale="85" zoomScaleNormal="85" workbookViewId="0">
      <pane ySplit="1" topLeftCell="A46" activePane="bottomLeft" state="frozen"/>
      <selection activeCell="T3" sqref="T3"/>
      <selection pane="bottomLeft" activeCell="BG1" sqref="BG1"/>
    </sheetView>
  </sheetViews>
  <sheetFormatPr baseColWidth="10" defaultColWidth="11.5703125" defaultRowHeight="14.25" customHeight="1" outlineLevelCol="1"/>
  <cols>
    <col min="1" max="1" width="9.28515625" style="14" bestFit="1" customWidth="1"/>
    <col min="2" max="2" width="8.7109375" style="14" bestFit="1" customWidth="1"/>
    <col min="3" max="3" width="10.42578125" style="14" bestFit="1" customWidth="1"/>
    <col min="4" max="4" width="24.85546875" style="14" bestFit="1" customWidth="1"/>
    <col min="5" max="5" width="10.28515625" style="14" bestFit="1" customWidth="1"/>
    <col min="6" max="6" width="26.85546875" style="14" bestFit="1" customWidth="1"/>
    <col min="7" max="7" width="39.42578125" style="14" bestFit="1" customWidth="1"/>
    <col min="8" max="8" width="10.42578125" style="14" bestFit="1" customWidth="1"/>
    <col min="9" max="9" width="7" style="14" bestFit="1" customWidth="1"/>
    <col min="10" max="10" width="35.28515625" style="14" bestFit="1" customWidth="1"/>
    <col min="11" max="11" width="27.7109375" style="14" bestFit="1" customWidth="1"/>
    <col min="12" max="12" width="17.5703125" style="14" bestFit="1" customWidth="1" outlineLevel="1"/>
    <col min="13" max="13" width="9" style="14" bestFit="1" customWidth="1" outlineLevel="1"/>
    <col min="14" max="14" width="11.5703125" style="14" bestFit="1" customWidth="1" outlineLevel="1"/>
    <col min="15" max="15" width="20.28515625" style="14" bestFit="1" customWidth="1"/>
    <col min="16" max="16" width="15.5703125" style="14" bestFit="1" customWidth="1"/>
    <col min="17" max="17" width="30.7109375" style="14" bestFit="1" customWidth="1" outlineLevel="1"/>
    <col min="18" max="18" width="9.42578125" style="14" bestFit="1" customWidth="1" outlineLevel="1"/>
    <col min="19" max="19" width="18.42578125" style="14" bestFit="1" customWidth="1"/>
    <col min="20" max="20" width="9.85546875" style="14" bestFit="1" customWidth="1"/>
    <col min="21" max="21" width="10.7109375" style="14" bestFit="1" customWidth="1"/>
    <col min="22" max="22" width="10.5703125" style="14" bestFit="1" customWidth="1"/>
    <col min="23" max="23" width="10.7109375" style="14" bestFit="1" customWidth="1"/>
    <col min="24" max="24" width="22.140625" style="14" bestFit="1" customWidth="1"/>
    <col min="25" max="25" width="13.28515625" style="14" bestFit="1" customWidth="1"/>
    <col min="26" max="26" width="16.7109375" style="14" bestFit="1" customWidth="1"/>
    <col min="27" max="27" width="14.7109375" style="14" bestFit="1" customWidth="1"/>
    <col min="28" max="28" width="34.140625" style="14" bestFit="1" customWidth="1"/>
    <col min="29" max="29" width="17.140625" style="14" bestFit="1" customWidth="1"/>
    <col min="30" max="30" width="23.85546875" style="14" bestFit="1" customWidth="1"/>
    <col min="31" max="31" width="12.42578125" style="14" bestFit="1" customWidth="1"/>
    <col min="32" max="32" width="16.42578125" style="14" bestFit="1" customWidth="1"/>
    <col min="33" max="33" width="9.85546875" style="14" bestFit="1" customWidth="1"/>
    <col min="34" max="34" width="27.140625" style="14" bestFit="1" customWidth="1"/>
    <col min="35" max="36" width="9.85546875" style="14" bestFit="1" customWidth="1"/>
    <col min="37" max="37" width="14.42578125" style="14" bestFit="1" customWidth="1"/>
    <col min="38" max="38" width="16.5703125" style="14" bestFit="1" customWidth="1"/>
    <col min="39" max="39" width="14.42578125" style="14" bestFit="1" customWidth="1"/>
    <col min="40" max="40" width="9.85546875" style="14" bestFit="1" customWidth="1"/>
    <col min="41" max="41" width="39" style="14" bestFit="1" customWidth="1"/>
    <col min="42" max="42" width="14.42578125" style="14" bestFit="1" customWidth="1"/>
    <col min="43" max="43" width="7.42578125" style="14" bestFit="1" customWidth="1"/>
    <col min="44" max="44" width="8.140625" style="14" bestFit="1" customWidth="1"/>
    <col min="45" max="45" width="11" style="14" bestFit="1" customWidth="1"/>
    <col min="46" max="46" width="27.28515625" style="14" bestFit="1" customWidth="1"/>
    <col min="47" max="47" width="36.28515625" style="14" bestFit="1" customWidth="1"/>
    <col min="48" max="48" width="22.140625" style="14" bestFit="1" customWidth="1"/>
    <col min="49" max="49" width="21" style="14" bestFit="1" customWidth="1"/>
    <col min="50" max="50" width="20.85546875" style="14" bestFit="1" customWidth="1"/>
    <col min="51" max="51" width="10.85546875" style="14" bestFit="1" customWidth="1"/>
    <col min="52" max="52" width="4.85546875" style="14" bestFit="1" customWidth="1"/>
    <col min="53" max="53" width="13.42578125" style="14" bestFit="1" customWidth="1"/>
    <col min="54" max="54" width="22.140625" style="14" bestFit="1" customWidth="1"/>
    <col min="55" max="55" width="18.5703125" style="14" bestFit="1" customWidth="1"/>
    <col min="56" max="56" width="27.42578125" style="14" bestFit="1" customWidth="1"/>
    <col min="57" max="57" width="26" style="14" bestFit="1" customWidth="1"/>
    <col min="58" max="58" width="34.85546875" style="14" bestFit="1" customWidth="1"/>
    <col min="59" max="59" width="27.5703125" style="14" bestFit="1" customWidth="1"/>
    <col min="60" max="60" width="24.5703125" style="14" bestFit="1" customWidth="1"/>
    <col min="61" max="61" width="30.5703125" style="14" bestFit="1" customWidth="1"/>
    <col min="62" max="62" width="17.42578125" style="14" bestFit="1" customWidth="1"/>
    <col min="63" max="63" width="29.7109375" style="14" bestFit="1" customWidth="1"/>
    <col min="64" max="64" width="26.85546875" style="14" bestFit="1" customWidth="1"/>
    <col min="65" max="65" width="19.5703125" style="14" bestFit="1" customWidth="1"/>
    <col min="66" max="66" width="11.85546875" style="14" bestFit="1" customWidth="1"/>
    <col min="67" max="67" width="13" style="14" bestFit="1" customWidth="1"/>
    <col min="68" max="68" width="15.140625" style="14" bestFit="1" customWidth="1"/>
    <col min="69" max="70" width="12.140625" style="14" bestFit="1" customWidth="1"/>
    <col min="71" max="71" width="20" style="14" bestFit="1" customWidth="1"/>
    <col min="72" max="72" width="15.28515625" style="14" bestFit="1" customWidth="1"/>
    <col min="73" max="73" width="17.5703125" style="109" bestFit="1" customWidth="1"/>
    <col min="74" max="74" width="11.5703125" style="109"/>
    <col min="75" max="16384" width="11.5703125" style="14"/>
  </cols>
  <sheetData>
    <row r="1" spans="1:74" s="40" customFormat="1" ht="20.25" customHeight="1">
      <c r="A1" s="40" t="s">
        <v>374</v>
      </c>
      <c r="B1" s="40" t="s">
        <v>375</v>
      </c>
      <c r="C1" s="40" t="s">
        <v>376</v>
      </c>
      <c r="D1" s="40" t="s">
        <v>377</v>
      </c>
      <c r="E1" s="40" t="s">
        <v>378</v>
      </c>
      <c r="F1" s="40" t="s">
        <v>379</v>
      </c>
      <c r="G1" s="40" t="s">
        <v>380</v>
      </c>
      <c r="H1" s="40" t="s">
        <v>381</v>
      </c>
      <c r="I1" s="40" t="s">
        <v>382</v>
      </c>
      <c r="J1" s="40" t="s">
        <v>110</v>
      </c>
      <c r="K1" s="40" t="s">
        <v>383</v>
      </c>
      <c r="L1" s="40" t="s">
        <v>384</v>
      </c>
      <c r="M1" s="40" t="s">
        <v>385</v>
      </c>
      <c r="N1" s="40" t="s">
        <v>386</v>
      </c>
      <c r="O1" s="40" t="s">
        <v>387</v>
      </c>
      <c r="P1" s="40" t="s">
        <v>388</v>
      </c>
      <c r="Q1" s="40" t="s">
        <v>389</v>
      </c>
      <c r="R1" s="40" t="s">
        <v>390</v>
      </c>
      <c r="S1" s="40" t="s">
        <v>111</v>
      </c>
      <c r="T1" s="41" t="s">
        <v>391</v>
      </c>
      <c r="U1" s="41" t="s">
        <v>112</v>
      </c>
      <c r="V1" s="41" t="s">
        <v>392</v>
      </c>
      <c r="W1" s="41" t="s">
        <v>393</v>
      </c>
      <c r="X1" s="41" t="s">
        <v>394</v>
      </c>
      <c r="Y1" s="41" t="s">
        <v>395</v>
      </c>
      <c r="Z1" s="41" t="s">
        <v>396</v>
      </c>
      <c r="AA1" s="41" t="s">
        <v>397</v>
      </c>
      <c r="AB1" s="41" t="s">
        <v>398</v>
      </c>
      <c r="AC1" s="41" t="s">
        <v>399</v>
      </c>
      <c r="AD1" s="41" t="s">
        <v>400</v>
      </c>
      <c r="AE1" s="41" t="s">
        <v>401</v>
      </c>
      <c r="AF1" s="41" t="s">
        <v>402</v>
      </c>
      <c r="AG1" s="41" t="s">
        <v>403</v>
      </c>
      <c r="AH1" s="41" t="s">
        <v>404</v>
      </c>
      <c r="AI1" s="41" t="s">
        <v>405</v>
      </c>
      <c r="AJ1" s="41" t="s">
        <v>406</v>
      </c>
      <c r="AK1" s="41" t="s">
        <v>407</v>
      </c>
      <c r="AL1" s="41" t="s">
        <v>408</v>
      </c>
      <c r="AM1" s="41" t="s">
        <v>409</v>
      </c>
      <c r="AN1" s="41" t="s">
        <v>410</v>
      </c>
      <c r="AO1" s="41" t="s">
        <v>411</v>
      </c>
      <c r="AP1" s="41" t="s">
        <v>412</v>
      </c>
      <c r="AQ1" s="41" t="s">
        <v>413</v>
      </c>
      <c r="AR1" s="41" t="s">
        <v>414</v>
      </c>
      <c r="AS1" s="41" t="s">
        <v>415</v>
      </c>
      <c r="AT1" s="41" t="s">
        <v>416</v>
      </c>
      <c r="AU1" s="41" t="s">
        <v>417</v>
      </c>
      <c r="AV1" s="41" t="s">
        <v>418</v>
      </c>
      <c r="AW1" s="41" t="s">
        <v>419</v>
      </c>
      <c r="AX1" s="41" t="s">
        <v>113</v>
      </c>
      <c r="AY1" s="41" t="s">
        <v>420</v>
      </c>
      <c r="AZ1" s="41" t="s">
        <v>421</v>
      </c>
      <c r="BA1" s="41" t="s">
        <v>422</v>
      </c>
      <c r="BB1" s="41" t="s">
        <v>423</v>
      </c>
      <c r="BC1" s="41" t="s">
        <v>424</v>
      </c>
      <c r="BD1" s="41" t="s">
        <v>425</v>
      </c>
      <c r="BE1" s="41" t="s">
        <v>1143</v>
      </c>
      <c r="BF1" s="41" t="s">
        <v>1144</v>
      </c>
      <c r="BG1" s="41" t="s">
        <v>1145</v>
      </c>
      <c r="BH1" s="41" t="s">
        <v>972</v>
      </c>
      <c r="BI1" s="41" t="s">
        <v>426</v>
      </c>
      <c r="BJ1" s="41" t="s">
        <v>427</v>
      </c>
      <c r="BK1" s="41" t="s">
        <v>1146</v>
      </c>
      <c r="BL1" s="41" t="s">
        <v>1147</v>
      </c>
      <c r="BM1" s="41" t="s">
        <v>1148</v>
      </c>
      <c r="BN1" s="41" t="s">
        <v>428</v>
      </c>
      <c r="BO1" s="41" t="s">
        <v>429</v>
      </c>
      <c r="BP1" s="41" t="s">
        <v>430</v>
      </c>
      <c r="BQ1" s="41" t="s">
        <v>797</v>
      </c>
      <c r="BR1" s="41" t="s">
        <v>431</v>
      </c>
      <c r="BS1" s="41" t="s">
        <v>432</v>
      </c>
      <c r="BT1" s="41" t="s">
        <v>433</v>
      </c>
      <c r="BU1" s="105" t="s">
        <v>434</v>
      </c>
      <c r="BV1" s="106" t="s">
        <v>435</v>
      </c>
    </row>
    <row r="2" spans="1:74" ht="14.25" customHeight="1">
      <c r="A2" s="43">
        <v>1058413</v>
      </c>
      <c r="B2" s="43">
        <v>1</v>
      </c>
      <c r="C2" s="43">
        <v>10424714441</v>
      </c>
      <c r="D2" s="43" t="s">
        <v>119</v>
      </c>
      <c r="E2" s="43" t="s">
        <v>452</v>
      </c>
      <c r="F2" s="43" t="s">
        <v>32</v>
      </c>
      <c r="G2" s="43" t="s">
        <v>31</v>
      </c>
      <c r="H2" s="43" t="s">
        <v>439</v>
      </c>
      <c r="I2" s="43">
        <v>5499</v>
      </c>
      <c r="J2" s="43" t="s">
        <v>115</v>
      </c>
      <c r="K2" s="43" t="s">
        <v>470</v>
      </c>
      <c r="L2" s="43" t="s">
        <v>471</v>
      </c>
      <c r="M2" s="43" t="s">
        <v>122</v>
      </c>
      <c r="N2" s="43" t="s">
        <v>122</v>
      </c>
      <c r="O2" s="43" t="s">
        <v>443</v>
      </c>
      <c r="P2" s="43" t="s">
        <v>122</v>
      </c>
      <c r="Q2" s="43" t="s">
        <v>472</v>
      </c>
      <c r="R2" s="43">
        <v>20260515</v>
      </c>
      <c r="S2" s="43" t="s">
        <v>473</v>
      </c>
      <c r="T2" s="42" t="s">
        <v>474</v>
      </c>
      <c r="U2" s="42" t="s">
        <v>120</v>
      </c>
      <c r="V2" s="42">
        <v>2993123809418</v>
      </c>
      <c r="W2" s="42">
        <v>941374234</v>
      </c>
      <c r="X2" s="42" t="s">
        <v>33</v>
      </c>
      <c r="Y2" s="42" t="s">
        <v>475</v>
      </c>
      <c r="Z2" s="42" t="s">
        <v>476</v>
      </c>
      <c r="AA2" s="42" t="s">
        <v>447</v>
      </c>
      <c r="AB2" s="42" t="s">
        <v>121</v>
      </c>
      <c r="AC2" s="42" t="s">
        <v>179</v>
      </c>
      <c r="AD2" s="42"/>
      <c r="AE2" s="42" t="s">
        <v>148</v>
      </c>
      <c r="AF2" s="42" t="s">
        <v>122</v>
      </c>
      <c r="AG2" s="42">
        <v>1128</v>
      </c>
      <c r="AH2" s="42" t="s">
        <v>448</v>
      </c>
      <c r="AI2" s="42" t="s">
        <v>679</v>
      </c>
      <c r="AJ2" s="42" t="s">
        <v>680</v>
      </c>
      <c r="AK2" s="42" t="s">
        <v>449</v>
      </c>
      <c r="AL2" s="42" t="s">
        <v>121</v>
      </c>
      <c r="AM2" s="42"/>
      <c r="AN2" s="42" t="s">
        <v>122</v>
      </c>
      <c r="AO2" s="42" t="s">
        <v>477</v>
      </c>
      <c r="AP2" s="42"/>
      <c r="AQ2" s="42" t="s">
        <v>449</v>
      </c>
      <c r="AR2" s="42" t="s">
        <v>114</v>
      </c>
      <c r="AS2" s="42" t="s">
        <v>114</v>
      </c>
      <c r="AT2" s="42">
        <v>0</v>
      </c>
      <c r="AU2" s="42">
        <v>0</v>
      </c>
      <c r="AV2" s="42" t="s">
        <v>478</v>
      </c>
      <c r="AW2" s="42" t="s">
        <v>479</v>
      </c>
      <c r="AX2" s="42"/>
      <c r="AY2" s="42"/>
      <c r="AZ2" s="42">
        <v>1</v>
      </c>
      <c r="BA2" s="89">
        <v>0</v>
      </c>
      <c r="BB2" s="89">
        <v>0</v>
      </c>
      <c r="BC2" s="89">
        <v>0</v>
      </c>
      <c r="BD2" s="89">
        <v>0</v>
      </c>
      <c r="BE2" s="89">
        <v>0</v>
      </c>
      <c r="BF2" s="89">
        <v>0</v>
      </c>
      <c r="BG2" s="89">
        <v>0</v>
      </c>
      <c r="BH2" s="125">
        <v>0</v>
      </c>
      <c r="BI2" s="89">
        <v>0</v>
      </c>
      <c r="BJ2" s="89">
        <v>0</v>
      </c>
      <c r="BK2" s="89">
        <v>0</v>
      </c>
      <c r="BL2" s="89">
        <v>0</v>
      </c>
      <c r="BM2" s="89">
        <v>0</v>
      </c>
      <c r="BN2" s="89" t="s">
        <v>480</v>
      </c>
      <c r="BO2" s="42" t="s">
        <v>480</v>
      </c>
      <c r="BP2" s="42"/>
      <c r="BQ2" s="42">
        <v>1150.5999999999999</v>
      </c>
      <c r="BR2" s="42">
        <v>202605</v>
      </c>
      <c r="BS2" s="42"/>
      <c r="BT2" s="89" t="s">
        <v>451</v>
      </c>
      <c r="BU2" s="44" t="s">
        <v>451</v>
      </c>
      <c r="BV2" s="107" t="s">
        <v>451</v>
      </c>
    </row>
    <row r="3" spans="1:74" ht="14.25" customHeight="1">
      <c r="A3" s="43">
        <v>1058458</v>
      </c>
      <c r="B3" s="43">
        <v>1</v>
      </c>
      <c r="C3" s="43">
        <v>20610935932</v>
      </c>
      <c r="D3" s="43" t="s">
        <v>119</v>
      </c>
      <c r="E3" s="43" t="s">
        <v>452</v>
      </c>
      <c r="F3" s="43" t="s">
        <v>493</v>
      </c>
      <c r="G3" s="43" t="s">
        <v>494</v>
      </c>
      <c r="H3" s="43" t="s">
        <v>439</v>
      </c>
      <c r="I3" s="43">
        <v>5411</v>
      </c>
      <c r="J3" s="43" t="s">
        <v>440</v>
      </c>
      <c r="K3" s="43" t="s">
        <v>520</v>
      </c>
      <c r="L3" s="43" t="s">
        <v>496</v>
      </c>
      <c r="M3" s="43" t="s">
        <v>497</v>
      </c>
      <c r="N3" s="43" t="s">
        <v>497</v>
      </c>
      <c r="O3" s="43" t="s">
        <v>497</v>
      </c>
      <c r="P3" s="43" t="s">
        <v>457</v>
      </c>
      <c r="Q3" s="43" t="s">
        <v>498</v>
      </c>
      <c r="R3" s="43">
        <v>20260518</v>
      </c>
      <c r="S3" s="43" t="s">
        <v>473</v>
      </c>
      <c r="T3" s="42" t="s">
        <v>445</v>
      </c>
      <c r="U3" s="42" t="s">
        <v>499</v>
      </c>
      <c r="V3" s="42">
        <v>2159933848013</v>
      </c>
      <c r="W3" s="42">
        <v>975214466</v>
      </c>
      <c r="X3" s="42" t="s">
        <v>33</v>
      </c>
      <c r="Y3" s="42" t="s">
        <v>475</v>
      </c>
      <c r="Z3" s="42" t="s">
        <v>446</v>
      </c>
      <c r="AA3" s="42" t="s">
        <v>447</v>
      </c>
      <c r="AB3" s="42" t="s">
        <v>121</v>
      </c>
      <c r="AC3" s="42" t="s">
        <v>225</v>
      </c>
      <c r="AD3" s="42"/>
      <c r="AE3" s="42" t="s">
        <v>148</v>
      </c>
      <c r="AF3" s="42" t="s">
        <v>497</v>
      </c>
      <c r="AG3" s="42">
        <v>1128</v>
      </c>
      <c r="AH3" s="42" t="s">
        <v>448</v>
      </c>
      <c r="AI3" s="42" t="s">
        <v>679</v>
      </c>
      <c r="AJ3" s="42" t="s">
        <v>680</v>
      </c>
      <c r="AK3" s="42" t="s">
        <v>449</v>
      </c>
      <c r="AL3" s="42" t="s">
        <v>121</v>
      </c>
      <c r="AM3" s="42"/>
      <c r="AN3" s="42" t="s">
        <v>122</v>
      </c>
      <c r="AO3" s="42" t="s">
        <v>450</v>
      </c>
      <c r="AP3" s="42"/>
      <c r="AQ3" s="42" t="s">
        <v>449</v>
      </c>
      <c r="AR3" s="42" t="s">
        <v>114</v>
      </c>
      <c r="AS3" s="42" t="s">
        <v>114</v>
      </c>
      <c r="AT3" s="42">
        <v>0</v>
      </c>
      <c r="AU3" s="42">
        <v>0</v>
      </c>
      <c r="AV3" s="42"/>
      <c r="AW3" s="42"/>
      <c r="AX3" s="42"/>
      <c r="AY3" s="42"/>
      <c r="AZ3" s="42">
        <v>1</v>
      </c>
      <c r="BA3" s="89">
        <v>29023.3</v>
      </c>
      <c r="BB3" s="89">
        <v>29023.3</v>
      </c>
      <c r="BC3" s="89">
        <v>29023.3</v>
      </c>
      <c r="BD3" s="89">
        <v>29023.3</v>
      </c>
      <c r="BE3" s="89">
        <v>4649</v>
      </c>
      <c r="BF3" s="89">
        <v>4587</v>
      </c>
      <c r="BG3" s="89">
        <v>62</v>
      </c>
      <c r="BH3" s="125">
        <v>29023.3</v>
      </c>
      <c r="BI3" s="89">
        <v>0.16018164715935129</v>
      </c>
      <c r="BJ3" s="89">
        <v>0.16018164715935129</v>
      </c>
      <c r="BK3" s="89">
        <v>4649</v>
      </c>
      <c r="BL3" s="89">
        <v>4649</v>
      </c>
      <c r="BM3" s="89">
        <v>4649</v>
      </c>
      <c r="BN3" s="89"/>
      <c r="BO3" s="42"/>
      <c r="BP3" s="42"/>
      <c r="BQ3" s="42">
        <v>6232</v>
      </c>
      <c r="BR3" s="42">
        <v>202605</v>
      </c>
      <c r="BS3" s="42">
        <v>202606</v>
      </c>
      <c r="BT3" s="89">
        <v>4649</v>
      </c>
      <c r="BU3" s="44">
        <v>4587</v>
      </c>
      <c r="BV3" s="44">
        <v>62</v>
      </c>
    </row>
    <row r="4" spans="1:74" ht="14.25" customHeight="1">
      <c r="A4" s="43">
        <v>1058459</v>
      </c>
      <c r="B4" s="43">
        <v>1</v>
      </c>
      <c r="C4" s="43">
        <v>20610935932</v>
      </c>
      <c r="D4" s="43" t="s">
        <v>119</v>
      </c>
      <c r="E4" s="43" t="s">
        <v>452</v>
      </c>
      <c r="F4" s="43" t="s">
        <v>493</v>
      </c>
      <c r="G4" s="43" t="s">
        <v>494</v>
      </c>
      <c r="H4" s="43" t="s">
        <v>439</v>
      </c>
      <c r="I4" s="43">
        <v>5411</v>
      </c>
      <c r="J4" s="43" t="s">
        <v>440</v>
      </c>
      <c r="K4" s="43" t="s">
        <v>521</v>
      </c>
      <c r="L4" s="43" t="s">
        <v>496</v>
      </c>
      <c r="M4" s="43" t="s">
        <v>497</v>
      </c>
      <c r="N4" s="43" t="s">
        <v>497</v>
      </c>
      <c r="O4" s="43" t="s">
        <v>497</v>
      </c>
      <c r="P4" s="43" t="s">
        <v>457</v>
      </c>
      <c r="Q4" s="43" t="s">
        <v>498</v>
      </c>
      <c r="R4" s="43">
        <v>20260518</v>
      </c>
      <c r="S4" s="43" t="s">
        <v>473</v>
      </c>
      <c r="T4" s="42" t="s">
        <v>445</v>
      </c>
      <c r="U4" s="42" t="s">
        <v>499</v>
      </c>
      <c r="V4" s="42">
        <v>2159933848013</v>
      </c>
      <c r="W4" s="42">
        <v>975214466</v>
      </c>
      <c r="X4" s="42" t="s">
        <v>33</v>
      </c>
      <c r="Y4" s="42" t="s">
        <v>475</v>
      </c>
      <c r="Z4" s="42" t="s">
        <v>446</v>
      </c>
      <c r="AA4" s="42" t="s">
        <v>447</v>
      </c>
      <c r="AB4" s="42" t="s">
        <v>121</v>
      </c>
      <c r="AC4" s="42" t="s">
        <v>225</v>
      </c>
      <c r="AD4" s="42"/>
      <c r="AE4" s="42" t="s">
        <v>148</v>
      </c>
      <c r="AF4" s="42" t="s">
        <v>497</v>
      </c>
      <c r="AG4" s="42">
        <v>1128</v>
      </c>
      <c r="AH4" s="42" t="s">
        <v>448</v>
      </c>
      <c r="AI4" s="42" t="s">
        <v>679</v>
      </c>
      <c r="AJ4" s="42" t="s">
        <v>680</v>
      </c>
      <c r="AK4" s="42" t="s">
        <v>449</v>
      </c>
      <c r="AL4" s="42" t="s">
        <v>121</v>
      </c>
      <c r="AM4" s="42"/>
      <c r="AN4" s="42" t="s">
        <v>122</v>
      </c>
      <c r="AO4" s="42" t="s">
        <v>450</v>
      </c>
      <c r="AP4" s="42"/>
      <c r="AQ4" s="42" t="s">
        <v>449</v>
      </c>
      <c r="AR4" s="42" t="s">
        <v>114</v>
      </c>
      <c r="AS4" s="42" t="s">
        <v>114</v>
      </c>
      <c r="AT4" s="42">
        <v>0</v>
      </c>
      <c r="AU4" s="42">
        <v>0</v>
      </c>
      <c r="AV4" s="42"/>
      <c r="AW4" s="42"/>
      <c r="AX4" s="42"/>
      <c r="AY4" s="42"/>
      <c r="AZ4" s="42">
        <v>1</v>
      </c>
      <c r="BA4" s="89">
        <v>29023.3</v>
      </c>
      <c r="BB4" s="89">
        <v>29023.3</v>
      </c>
      <c r="BC4" s="89">
        <v>29023.3</v>
      </c>
      <c r="BD4" s="89">
        <v>29023.3</v>
      </c>
      <c r="BE4" s="89">
        <v>4848</v>
      </c>
      <c r="BF4" s="89">
        <v>3715</v>
      </c>
      <c r="BG4" s="89">
        <v>1133</v>
      </c>
      <c r="BH4" s="125">
        <v>29023.3</v>
      </c>
      <c r="BI4" s="89">
        <v>0.1670382072334986</v>
      </c>
      <c r="BJ4" s="89">
        <v>0.1670382072334986</v>
      </c>
      <c r="BK4" s="89">
        <v>4848</v>
      </c>
      <c r="BL4" s="89">
        <v>4848</v>
      </c>
      <c r="BM4" s="89">
        <v>4848</v>
      </c>
      <c r="BN4" s="89"/>
      <c r="BO4" s="42"/>
      <c r="BP4" s="42"/>
      <c r="BQ4" s="42">
        <v>3007</v>
      </c>
      <c r="BR4" s="42">
        <v>202605</v>
      </c>
      <c r="BS4" s="42">
        <v>202606</v>
      </c>
      <c r="BT4" s="89">
        <v>4848</v>
      </c>
      <c r="BU4" s="44">
        <v>3715</v>
      </c>
      <c r="BV4" s="44">
        <v>1133</v>
      </c>
    </row>
    <row r="5" spans="1:74" ht="14.25" customHeight="1">
      <c r="A5" s="43">
        <v>1058457</v>
      </c>
      <c r="B5" s="43">
        <v>1</v>
      </c>
      <c r="C5" s="43">
        <v>20610935932</v>
      </c>
      <c r="D5" s="43" t="s">
        <v>119</v>
      </c>
      <c r="E5" s="43" t="s">
        <v>452</v>
      </c>
      <c r="F5" s="43" t="s">
        <v>493</v>
      </c>
      <c r="G5" s="43" t="s">
        <v>494</v>
      </c>
      <c r="H5" s="43" t="s">
        <v>439</v>
      </c>
      <c r="I5" s="43">
        <v>5411</v>
      </c>
      <c r="J5" s="43" t="s">
        <v>440</v>
      </c>
      <c r="K5" s="43" t="s">
        <v>519</v>
      </c>
      <c r="L5" s="43" t="s">
        <v>496</v>
      </c>
      <c r="M5" s="43" t="s">
        <v>497</v>
      </c>
      <c r="N5" s="43" t="s">
        <v>497</v>
      </c>
      <c r="O5" s="43" t="s">
        <v>497</v>
      </c>
      <c r="P5" s="43" t="s">
        <v>457</v>
      </c>
      <c r="Q5" s="43" t="s">
        <v>498</v>
      </c>
      <c r="R5" s="43">
        <v>20260518</v>
      </c>
      <c r="S5" s="43" t="s">
        <v>473</v>
      </c>
      <c r="T5" s="42" t="s">
        <v>445</v>
      </c>
      <c r="U5" s="42" t="s">
        <v>499</v>
      </c>
      <c r="V5" s="42">
        <v>2159933848013</v>
      </c>
      <c r="W5" s="42">
        <v>975214466</v>
      </c>
      <c r="X5" s="42" t="s">
        <v>33</v>
      </c>
      <c r="Y5" s="42" t="s">
        <v>475</v>
      </c>
      <c r="Z5" s="42" t="s">
        <v>446</v>
      </c>
      <c r="AA5" s="42" t="s">
        <v>447</v>
      </c>
      <c r="AB5" s="42" t="s">
        <v>121</v>
      </c>
      <c r="AC5" s="42" t="s">
        <v>225</v>
      </c>
      <c r="AD5" s="42"/>
      <c r="AE5" s="42" t="s">
        <v>148</v>
      </c>
      <c r="AF5" s="42" t="s">
        <v>497</v>
      </c>
      <c r="AG5" s="42">
        <v>1128</v>
      </c>
      <c r="AH5" s="42" t="s">
        <v>448</v>
      </c>
      <c r="AI5" s="42" t="s">
        <v>679</v>
      </c>
      <c r="AJ5" s="42" t="s">
        <v>680</v>
      </c>
      <c r="AK5" s="42" t="s">
        <v>449</v>
      </c>
      <c r="AL5" s="42" t="s">
        <v>121</v>
      </c>
      <c r="AM5" s="42"/>
      <c r="AN5" s="42" t="s">
        <v>122</v>
      </c>
      <c r="AO5" s="42" t="s">
        <v>450</v>
      </c>
      <c r="AP5" s="42"/>
      <c r="AQ5" s="42" t="s">
        <v>449</v>
      </c>
      <c r="AR5" s="42" t="s">
        <v>114</v>
      </c>
      <c r="AS5" s="42" t="s">
        <v>114</v>
      </c>
      <c r="AT5" s="42">
        <v>0</v>
      </c>
      <c r="AU5" s="42">
        <v>0</v>
      </c>
      <c r="AV5" s="42"/>
      <c r="AW5" s="42"/>
      <c r="AX5" s="42"/>
      <c r="AY5" s="42"/>
      <c r="AZ5" s="42">
        <v>1</v>
      </c>
      <c r="BA5" s="89">
        <v>29023.3</v>
      </c>
      <c r="BB5" s="89">
        <v>29023.3</v>
      </c>
      <c r="BC5" s="89">
        <v>29023.3</v>
      </c>
      <c r="BD5" s="89">
        <v>29023.3</v>
      </c>
      <c r="BE5" s="89">
        <v>3145.5</v>
      </c>
      <c r="BF5" s="89">
        <v>2206</v>
      </c>
      <c r="BG5" s="89">
        <v>939.5</v>
      </c>
      <c r="BH5" s="125">
        <v>29023.3</v>
      </c>
      <c r="BI5" s="89">
        <v>0.108378440770002</v>
      </c>
      <c r="BJ5" s="89">
        <v>0.108378440770002</v>
      </c>
      <c r="BK5" s="89">
        <v>3145.5</v>
      </c>
      <c r="BL5" s="89">
        <v>3145.5</v>
      </c>
      <c r="BM5" s="89">
        <v>3145.5</v>
      </c>
      <c r="BN5" s="89"/>
      <c r="BO5" s="42"/>
      <c r="BP5" s="42"/>
      <c r="BQ5" s="42">
        <v>918.9</v>
      </c>
      <c r="BR5" s="42">
        <v>202605</v>
      </c>
      <c r="BS5" s="42">
        <v>202606</v>
      </c>
      <c r="BT5" s="89">
        <v>3145.5</v>
      </c>
      <c r="BU5" s="44">
        <v>2206</v>
      </c>
      <c r="BV5" s="44">
        <v>939.5</v>
      </c>
    </row>
    <row r="6" spans="1:74" ht="14.25" customHeight="1">
      <c r="A6" s="42">
        <v>1058498</v>
      </c>
      <c r="B6" s="42">
        <v>1</v>
      </c>
      <c r="C6" s="42">
        <v>20612897949</v>
      </c>
      <c r="D6" s="42" t="s">
        <v>119</v>
      </c>
      <c r="E6" s="42" t="s">
        <v>452</v>
      </c>
      <c r="F6" s="42" t="s">
        <v>46</v>
      </c>
      <c r="G6" s="42" t="s">
        <v>582</v>
      </c>
      <c r="H6" s="42" t="s">
        <v>439</v>
      </c>
      <c r="I6" s="42">
        <v>5533</v>
      </c>
      <c r="J6" s="42" t="s">
        <v>583</v>
      </c>
      <c r="K6" s="42" t="s">
        <v>584</v>
      </c>
      <c r="L6" s="42" t="s">
        <v>496</v>
      </c>
      <c r="M6" s="42" t="s">
        <v>122</v>
      </c>
      <c r="N6" s="42" t="s">
        <v>122</v>
      </c>
      <c r="O6" s="42" t="s">
        <v>443</v>
      </c>
      <c r="P6" s="42" t="s">
        <v>122</v>
      </c>
      <c r="Q6" s="42" t="s">
        <v>585</v>
      </c>
      <c r="R6" s="42">
        <v>20260520</v>
      </c>
      <c r="S6" s="42" t="s">
        <v>473</v>
      </c>
      <c r="T6" s="42" t="s">
        <v>445</v>
      </c>
      <c r="U6" s="42" t="s">
        <v>120</v>
      </c>
      <c r="V6" s="42">
        <v>2003006352713</v>
      </c>
      <c r="W6" s="42">
        <v>977173233</v>
      </c>
      <c r="X6" s="42" t="s">
        <v>33</v>
      </c>
      <c r="Y6" s="42" t="s">
        <v>475</v>
      </c>
      <c r="Z6" s="42" t="s">
        <v>446</v>
      </c>
      <c r="AA6" s="42" t="s">
        <v>447</v>
      </c>
      <c r="AB6" s="42" t="s">
        <v>121</v>
      </c>
      <c r="AC6" s="42" t="s">
        <v>200</v>
      </c>
      <c r="AD6" s="42"/>
      <c r="AE6" s="42" t="s">
        <v>148</v>
      </c>
      <c r="AF6" s="42" t="s">
        <v>122</v>
      </c>
      <c r="AG6" s="42">
        <v>1128</v>
      </c>
      <c r="AH6" s="42" t="s">
        <v>448</v>
      </c>
      <c r="AI6" s="42" t="s">
        <v>679</v>
      </c>
      <c r="AJ6" s="42" t="s">
        <v>184</v>
      </c>
      <c r="AK6" s="42" t="s">
        <v>449</v>
      </c>
      <c r="AL6" s="42" t="s">
        <v>121</v>
      </c>
      <c r="AM6" s="42"/>
      <c r="AN6" s="42" t="s">
        <v>122</v>
      </c>
      <c r="AO6" s="42" t="s">
        <v>581</v>
      </c>
      <c r="AP6" s="42"/>
      <c r="AQ6" s="42" t="s">
        <v>449</v>
      </c>
      <c r="AR6" s="42" t="s">
        <v>114</v>
      </c>
      <c r="AS6" s="42" t="s">
        <v>114</v>
      </c>
      <c r="AT6" s="42">
        <v>0</v>
      </c>
      <c r="AU6" s="42">
        <v>0</v>
      </c>
      <c r="AV6" s="42"/>
      <c r="AW6" s="42"/>
      <c r="AX6" s="42"/>
      <c r="AY6" s="42"/>
      <c r="AZ6" s="42">
        <v>1</v>
      </c>
      <c r="BA6" s="89">
        <v>27810</v>
      </c>
      <c r="BB6" s="89">
        <v>22411</v>
      </c>
      <c r="BC6" s="89">
        <v>27810</v>
      </c>
      <c r="BD6" s="89">
        <v>22411</v>
      </c>
      <c r="BE6" s="89">
        <v>27810</v>
      </c>
      <c r="BF6" s="89">
        <v>0</v>
      </c>
      <c r="BG6" s="89">
        <v>27810</v>
      </c>
      <c r="BH6" s="125">
        <v>22411</v>
      </c>
      <c r="BI6" s="89">
        <v>1</v>
      </c>
      <c r="BJ6" s="89">
        <v>1</v>
      </c>
      <c r="BK6" s="89">
        <v>22411</v>
      </c>
      <c r="BL6" s="89">
        <v>22411</v>
      </c>
      <c r="BM6" s="89">
        <v>27810</v>
      </c>
      <c r="BN6" s="89"/>
      <c r="BO6" s="42"/>
      <c r="BP6" s="42"/>
      <c r="BQ6" s="42">
        <v>2505</v>
      </c>
      <c r="BR6" s="42">
        <v>202605</v>
      </c>
      <c r="BS6" s="42">
        <v>202606</v>
      </c>
      <c r="BT6" s="89">
        <v>22411</v>
      </c>
      <c r="BU6" s="44">
        <v>0</v>
      </c>
      <c r="BV6" s="44">
        <v>22411</v>
      </c>
    </row>
    <row r="7" spans="1:74" ht="14.25" customHeight="1">
      <c r="A7" s="42">
        <v>1058460</v>
      </c>
      <c r="B7" s="42">
        <v>1</v>
      </c>
      <c r="C7" s="42">
        <v>20610935932</v>
      </c>
      <c r="D7" s="42" t="s">
        <v>119</v>
      </c>
      <c r="E7" s="42" t="s">
        <v>452</v>
      </c>
      <c r="F7" s="42" t="s">
        <v>493</v>
      </c>
      <c r="G7" s="42" t="s">
        <v>494</v>
      </c>
      <c r="H7" s="42" t="s">
        <v>439</v>
      </c>
      <c r="I7" s="42">
        <v>5411</v>
      </c>
      <c r="J7" s="42" t="s">
        <v>440</v>
      </c>
      <c r="K7" s="42" t="s">
        <v>522</v>
      </c>
      <c r="L7" s="42" t="s">
        <v>496</v>
      </c>
      <c r="M7" s="42" t="s">
        <v>497</v>
      </c>
      <c r="N7" s="42" t="s">
        <v>497</v>
      </c>
      <c r="O7" s="42" t="s">
        <v>497</v>
      </c>
      <c r="P7" s="42" t="s">
        <v>457</v>
      </c>
      <c r="Q7" s="42" t="s">
        <v>498</v>
      </c>
      <c r="R7" s="42">
        <v>20260518</v>
      </c>
      <c r="S7" s="42" t="s">
        <v>473</v>
      </c>
      <c r="T7" s="42" t="s">
        <v>445</v>
      </c>
      <c r="U7" s="42" t="s">
        <v>499</v>
      </c>
      <c r="V7" s="42">
        <v>2159933848013</v>
      </c>
      <c r="W7" s="42">
        <v>975214466</v>
      </c>
      <c r="X7" s="42" t="s">
        <v>33</v>
      </c>
      <c r="Y7" s="42" t="s">
        <v>475</v>
      </c>
      <c r="Z7" s="42" t="s">
        <v>446</v>
      </c>
      <c r="AA7" s="42" t="s">
        <v>447</v>
      </c>
      <c r="AB7" s="42" t="s">
        <v>121</v>
      </c>
      <c r="AC7" s="42" t="s">
        <v>225</v>
      </c>
      <c r="AD7" s="42"/>
      <c r="AE7" s="42" t="s">
        <v>148</v>
      </c>
      <c r="AF7" s="42" t="s">
        <v>497</v>
      </c>
      <c r="AG7" s="42">
        <v>1128</v>
      </c>
      <c r="AH7" s="42" t="s">
        <v>448</v>
      </c>
      <c r="AI7" s="42" t="s">
        <v>679</v>
      </c>
      <c r="AJ7" s="42" t="s">
        <v>680</v>
      </c>
      <c r="AK7" s="42" t="s">
        <v>449</v>
      </c>
      <c r="AL7" s="42" t="s">
        <v>121</v>
      </c>
      <c r="AM7" s="42"/>
      <c r="AN7" s="42" t="s">
        <v>122</v>
      </c>
      <c r="AO7" s="42" t="s">
        <v>450</v>
      </c>
      <c r="AP7" s="42"/>
      <c r="AQ7" s="42" t="s">
        <v>449</v>
      </c>
      <c r="AR7" s="42" t="s">
        <v>114</v>
      </c>
      <c r="AS7" s="42" t="s">
        <v>114</v>
      </c>
      <c r="AT7" s="42">
        <v>0</v>
      </c>
      <c r="AU7" s="42">
        <v>0</v>
      </c>
      <c r="AV7" s="42"/>
      <c r="AW7" s="42"/>
      <c r="AX7" s="42"/>
      <c r="AY7" s="42"/>
      <c r="AZ7" s="42">
        <v>1</v>
      </c>
      <c r="BA7" s="89">
        <v>29023.3</v>
      </c>
      <c r="BB7" s="89">
        <v>29023.3</v>
      </c>
      <c r="BC7" s="89">
        <v>29023.3</v>
      </c>
      <c r="BD7" s="89">
        <v>29023.3</v>
      </c>
      <c r="BE7" s="89">
        <v>8115.3000000000011</v>
      </c>
      <c r="BF7" s="89">
        <v>4892</v>
      </c>
      <c r="BG7" s="89">
        <v>3223.3000000000011</v>
      </c>
      <c r="BH7" s="125">
        <v>29023.3</v>
      </c>
      <c r="BI7" s="89">
        <v>0.27961327622978782</v>
      </c>
      <c r="BJ7" s="89">
        <v>0.27961327622978782</v>
      </c>
      <c r="BK7" s="89">
        <v>8115.3000000000011</v>
      </c>
      <c r="BL7" s="89">
        <v>8115.3</v>
      </c>
      <c r="BM7" s="89">
        <v>8115.3</v>
      </c>
      <c r="BN7" s="89"/>
      <c r="BO7" s="42"/>
      <c r="BP7" s="42"/>
      <c r="BQ7" s="42">
        <v>4045</v>
      </c>
      <c r="BR7" s="42">
        <v>202605</v>
      </c>
      <c r="BS7" s="42">
        <v>202606</v>
      </c>
      <c r="BT7" s="89">
        <v>8115.3</v>
      </c>
      <c r="BU7" s="44">
        <v>4892</v>
      </c>
      <c r="BV7" s="44">
        <v>3223.3</v>
      </c>
    </row>
    <row r="8" spans="1:74" ht="14.25" customHeight="1">
      <c r="A8" s="42">
        <v>1058616</v>
      </c>
      <c r="B8" s="42">
        <v>1</v>
      </c>
      <c r="C8" s="42">
        <v>20615080901</v>
      </c>
      <c r="D8" s="42" t="s">
        <v>119</v>
      </c>
      <c r="E8" s="42" t="s">
        <v>436</v>
      </c>
      <c r="F8" s="42" t="s">
        <v>558</v>
      </c>
      <c r="G8" s="42" t="s">
        <v>557</v>
      </c>
      <c r="H8" s="42" t="s">
        <v>439</v>
      </c>
      <c r="I8" s="42">
        <v>5137</v>
      </c>
      <c r="J8" s="42" t="s">
        <v>577</v>
      </c>
      <c r="K8" s="42" t="s">
        <v>578</v>
      </c>
      <c r="L8" s="42" t="s">
        <v>579</v>
      </c>
      <c r="M8" s="42" t="s">
        <v>122</v>
      </c>
      <c r="N8" s="42" t="s">
        <v>122</v>
      </c>
      <c r="O8" s="42" t="s">
        <v>443</v>
      </c>
      <c r="P8" s="42" t="s">
        <v>122</v>
      </c>
      <c r="Q8" s="42" t="s">
        <v>580</v>
      </c>
      <c r="R8" s="42">
        <v>20260522</v>
      </c>
      <c r="S8" s="42" t="s">
        <v>473</v>
      </c>
      <c r="T8" s="42" t="s">
        <v>445</v>
      </c>
      <c r="U8" s="42" t="s">
        <v>120</v>
      </c>
      <c r="V8" s="42">
        <v>2003008012618</v>
      </c>
      <c r="W8" s="42">
        <v>960933086</v>
      </c>
      <c r="X8" s="42" t="s">
        <v>33</v>
      </c>
      <c r="Y8" s="42" t="s">
        <v>475</v>
      </c>
      <c r="Z8" s="42" t="s">
        <v>446</v>
      </c>
      <c r="AA8" s="42" t="s">
        <v>447</v>
      </c>
      <c r="AB8" s="42" t="s">
        <v>121</v>
      </c>
      <c r="AC8" s="42" t="s">
        <v>200</v>
      </c>
      <c r="AD8" s="42"/>
      <c r="AE8" s="42" t="s">
        <v>148</v>
      </c>
      <c r="AF8" s="42" t="s">
        <v>122</v>
      </c>
      <c r="AG8" s="42">
        <v>1128</v>
      </c>
      <c r="AH8" s="42" t="s">
        <v>448</v>
      </c>
      <c r="AI8" s="42" t="s">
        <v>679</v>
      </c>
      <c r="AJ8" s="42" t="s">
        <v>184</v>
      </c>
      <c r="AK8" s="42" t="s">
        <v>449</v>
      </c>
      <c r="AL8" s="42" t="s">
        <v>121</v>
      </c>
      <c r="AM8" s="42"/>
      <c r="AN8" s="42" t="s">
        <v>122</v>
      </c>
      <c r="AO8" s="42" t="s">
        <v>581</v>
      </c>
      <c r="AP8" s="42"/>
      <c r="AQ8" s="42" t="s">
        <v>449</v>
      </c>
      <c r="AR8" s="42" t="s">
        <v>114</v>
      </c>
      <c r="AS8" s="42" t="s">
        <v>114</v>
      </c>
      <c r="AT8" s="42">
        <v>0</v>
      </c>
      <c r="AU8" s="42">
        <v>0</v>
      </c>
      <c r="AV8" s="42"/>
      <c r="AW8" s="42"/>
      <c r="AX8" s="42"/>
      <c r="AY8" s="42"/>
      <c r="AZ8" s="42">
        <v>1</v>
      </c>
      <c r="BA8" s="89">
        <v>458.4</v>
      </c>
      <c r="BB8" s="89">
        <v>458.4</v>
      </c>
      <c r="BC8" s="89">
        <v>458.4</v>
      </c>
      <c r="BD8" s="89">
        <v>458.4</v>
      </c>
      <c r="BE8" s="89">
        <v>458.4</v>
      </c>
      <c r="BF8" s="89">
        <v>272.2</v>
      </c>
      <c r="BG8" s="89">
        <v>186.2</v>
      </c>
      <c r="BH8" s="125">
        <v>458.4</v>
      </c>
      <c r="BI8" s="89">
        <v>1</v>
      </c>
      <c r="BJ8" s="89">
        <v>1</v>
      </c>
      <c r="BK8" s="89">
        <v>458.4</v>
      </c>
      <c r="BL8" s="89">
        <v>458.4</v>
      </c>
      <c r="BM8" s="89">
        <v>458.4</v>
      </c>
      <c r="BN8" s="89"/>
      <c r="BO8" s="42"/>
      <c r="BP8" s="42"/>
      <c r="BQ8" s="42">
        <v>845</v>
      </c>
      <c r="BR8" s="42">
        <v>202605</v>
      </c>
      <c r="BS8" s="42">
        <v>202606</v>
      </c>
      <c r="BT8" s="89">
        <v>458.4</v>
      </c>
      <c r="BU8" s="44">
        <v>272.2</v>
      </c>
      <c r="BV8" s="44">
        <v>186.2</v>
      </c>
    </row>
    <row r="9" spans="1:74" ht="14.25" customHeight="1">
      <c r="A9" s="42">
        <v>1058441</v>
      </c>
      <c r="B9" s="42">
        <v>1</v>
      </c>
      <c r="C9" s="42">
        <v>20610935932</v>
      </c>
      <c r="D9" s="42" t="s">
        <v>119</v>
      </c>
      <c r="E9" s="42" t="s">
        <v>452</v>
      </c>
      <c r="F9" s="42" t="s">
        <v>493</v>
      </c>
      <c r="G9" s="42" t="s">
        <v>494</v>
      </c>
      <c r="H9" s="42" t="s">
        <v>439</v>
      </c>
      <c r="I9" s="42">
        <v>5411</v>
      </c>
      <c r="J9" s="42" t="s">
        <v>440</v>
      </c>
      <c r="K9" s="42" t="s">
        <v>495</v>
      </c>
      <c r="L9" s="42" t="s">
        <v>496</v>
      </c>
      <c r="M9" s="42" t="s">
        <v>497</v>
      </c>
      <c r="N9" s="42" t="s">
        <v>497</v>
      </c>
      <c r="O9" s="42" t="s">
        <v>497</v>
      </c>
      <c r="P9" s="42" t="s">
        <v>457</v>
      </c>
      <c r="Q9" s="42" t="s">
        <v>498</v>
      </c>
      <c r="R9" s="42">
        <v>20260518</v>
      </c>
      <c r="S9" s="42" t="s">
        <v>473</v>
      </c>
      <c r="T9" s="42" t="s">
        <v>445</v>
      </c>
      <c r="U9" s="42" t="s">
        <v>499</v>
      </c>
      <c r="V9" s="42">
        <v>2159933848013</v>
      </c>
      <c r="W9" s="42">
        <v>975214466</v>
      </c>
      <c r="X9" s="42" t="s">
        <v>33</v>
      </c>
      <c r="Y9" s="42" t="s">
        <v>475</v>
      </c>
      <c r="Z9" s="42" t="s">
        <v>446</v>
      </c>
      <c r="AA9" s="42" t="s">
        <v>447</v>
      </c>
      <c r="AB9" s="42" t="s">
        <v>121</v>
      </c>
      <c r="AC9" s="42" t="s">
        <v>225</v>
      </c>
      <c r="AD9" s="42"/>
      <c r="AE9" s="42" t="s">
        <v>148</v>
      </c>
      <c r="AF9" s="42" t="s">
        <v>497</v>
      </c>
      <c r="AG9" s="42">
        <v>1128</v>
      </c>
      <c r="AH9" s="42" t="s">
        <v>448</v>
      </c>
      <c r="AI9" s="42" t="s">
        <v>679</v>
      </c>
      <c r="AJ9" s="42" t="s">
        <v>680</v>
      </c>
      <c r="AK9" s="42" t="s">
        <v>449</v>
      </c>
      <c r="AL9" s="42" t="s">
        <v>121</v>
      </c>
      <c r="AM9" s="42"/>
      <c r="AN9" s="42" t="s">
        <v>122</v>
      </c>
      <c r="AO9" s="42" t="s">
        <v>450</v>
      </c>
      <c r="AP9" s="42"/>
      <c r="AQ9" s="42" t="s">
        <v>449</v>
      </c>
      <c r="AR9" s="42" t="s">
        <v>114</v>
      </c>
      <c r="AS9" s="42" t="s">
        <v>114</v>
      </c>
      <c r="AT9" s="42">
        <v>0</v>
      </c>
      <c r="AU9" s="42">
        <v>0</v>
      </c>
      <c r="AV9" s="42"/>
      <c r="AW9" s="42"/>
      <c r="AX9" s="42"/>
      <c r="AY9" s="42"/>
      <c r="AZ9" s="42">
        <v>1</v>
      </c>
      <c r="BA9" s="89">
        <v>29023.3</v>
      </c>
      <c r="BB9" s="89">
        <v>29023.3</v>
      </c>
      <c r="BC9" s="89">
        <v>29023.3</v>
      </c>
      <c r="BD9" s="89">
        <v>29023.3</v>
      </c>
      <c r="BE9" s="89">
        <v>4323.5</v>
      </c>
      <c r="BF9" s="89">
        <v>3738.5</v>
      </c>
      <c r="BG9" s="89">
        <v>585</v>
      </c>
      <c r="BH9" s="125">
        <v>29023.3</v>
      </c>
      <c r="BI9" s="89">
        <v>0.1489665200028942</v>
      </c>
      <c r="BJ9" s="89">
        <v>0.1489665200028942</v>
      </c>
      <c r="BK9" s="89">
        <v>4323.5</v>
      </c>
      <c r="BL9" s="89">
        <v>4323.5</v>
      </c>
      <c r="BM9" s="89">
        <v>4323.5</v>
      </c>
      <c r="BN9" s="89"/>
      <c r="BO9" s="42"/>
      <c r="BP9" s="42"/>
      <c r="BQ9" s="42">
        <v>1799.2</v>
      </c>
      <c r="BR9" s="42">
        <v>202605</v>
      </c>
      <c r="BS9" s="42">
        <v>202606</v>
      </c>
      <c r="BT9" s="89">
        <v>4323.5</v>
      </c>
      <c r="BU9" s="44">
        <v>3738.5</v>
      </c>
      <c r="BV9" s="44">
        <v>585</v>
      </c>
    </row>
    <row r="10" spans="1:74" ht="14.25" customHeight="1">
      <c r="A10" s="42">
        <v>1058462</v>
      </c>
      <c r="B10" s="42">
        <v>1</v>
      </c>
      <c r="C10" s="42">
        <v>20610935932</v>
      </c>
      <c r="D10" s="42" t="s">
        <v>119</v>
      </c>
      <c r="E10" s="42" t="s">
        <v>452</v>
      </c>
      <c r="F10" s="42" t="s">
        <v>493</v>
      </c>
      <c r="G10" s="42" t="s">
        <v>494</v>
      </c>
      <c r="H10" s="42" t="s">
        <v>439</v>
      </c>
      <c r="I10" s="42">
        <v>5411</v>
      </c>
      <c r="J10" s="42" t="s">
        <v>440</v>
      </c>
      <c r="K10" s="42" t="s">
        <v>523</v>
      </c>
      <c r="L10" s="42" t="s">
        <v>496</v>
      </c>
      <c r="M10" s="42" t="s">
        <v>497</v>
      </c>
      <c r="N10" s="42" t="s">
        <v>497</v>
      </c>
      <c r="O10" s="42" t="s">
        <v>497</v>
      </c>
      <c r="P10" s="42" t="s">
        <v>457</v>
      </c>
      <c r="Q10" s="42" t="s">
        <v>498</v>
      </c>
      <c r="R10" s="42">
        <v>20260518</v>
      </c>
      <c r="S10" s="42" t="s">
        <v>473</v>
      </c>
      <c r="T10" s="42" t="s">
        <v>445</v>
      </c>
      <c r="U10" s="42" t="s">
        <v>499</v>
      </c>
      <c r="V10" s="42">
        <v>2159933848013</v>
      </c>
      <c r="W10" s="42">
        <v>975214466</v>
      </c>
      <c r="X10" s="42" t="s">
        <v>33</v>
      </c>
      <c r="Y10" s="42" t="s">
        <v>475</v>
      </c>
      <c r="Z10" s="42" t="s">
        <v>446</v>
      </c>
      <c r="AA10" s="42" t="s">
        <v>447</v>
      </c>
      <c r="AB10" s="42" t="s">
        <v>121</v>
      </c>
      <c r="AC10" s="42" t="s">
        <v>225</v>
      </c>
      <c r="AD10" s="42"/>
      <c r="AE10" s="42" t="s">
        <v>148</v>
      </c>
      <c r="AF10" s="42" t="s">
        <v>497</v>
      </c>
      <c r="AG10" s="42">
        <v>1128</v>
      </c>
      <c r="AH10" s="42" t="s">
        <v>448</v>
      </c>
      <c r="AI10" s="42" t="s">
        <v>679</v>
      </c>
      <c r="AJ10" s="42" t="s">
        <v>680</v>
      </c>
      <c r="AK10" s="42" t="s">
        <v>449</v>
      </c>
      <c r="AL10" s="42" t="s">
        <v>121</v>
      </c>
      <c r="AM10" s="42"/>
      <c r="AN10" s="42" t="s">
        <v>122</v>
      </c>
      <c r="AO10" s="42" t="s">
        <v>450</v>
      </c>
      <c r="AP10" s="42"/>
      <c r="AQ10" s="42" t="s">
        <v>449</v>
      </c>
      <c r="AR10" s="42" t="s">
        <v>114</v>
      </c>
      <c r="AS10" s="42" t="s">
        <v>114</v>
      </c>
      <c r="AT10" s="42">
        <v>0</v>
      </c>
      <c r="AU10" s="42">
        <v>0</v>
      </c>
      <c r="AV10" s="42"/>
      <c r="AW10" s="42"/>
      <c r="AX10" s="42"/>
      <c r="AY10" s="42"/>
      <c r="AZ10" s="42">
        <v>1</v>
      </c>
      <c r="BA10" s="89">
        <v>29023.3</v>
      </c>
      <c r="BB10" s="89">
        <v>29023.3</v>
      </c>
      <c r="BC10" s="89">
        <v>29023.3</v>
      </c>
      <c r="BD10" s="89">
        <v>29023.3</v>
      </c>
      <c r="BE10" s="89">
        <v>3942</v>
      </c>
      <c r="BF10" s="89">
        <v>2127</v>
      </c>
      <c r="BG10" s="89">
        <v>1815</v>
      </c>
      <c r="BH10" s="125">
        <v>29023.3</v>
      </c>
      <c r="BI10" s="89">
        <v>0.13582190860446611</v>
      </c>
      <c r="BJ10" s="89">
        <v>0.13582190860446611</v>
      </c>
      <c r="BK10" s="89">
        <v>3942</v>
      </c>
      <c r="BL10" s="89">
        <v>3942</v>
      </c>
      <c r="BM10" s="89">
        <v>3942</v>
      </c>
      <c r="BN10" s="89"/>
      <c r="BO10" s="42"/>
      <c r="BP10" s="42"/>
      <c r="BQ10" s="42">
        <v>2733</v>
      </c>
      <c r="BR10" s="42">
        <v>202605</v>
      </c>
      <c r="BS10" s="42">
        <v>202606</v>
      </c>
      <c r="BT10" s="89">
        <v>3942</v>
      </c>
      <c r="BU10" s="44">
        <v>2127</v>
      </c>
      <c r="BV10" s="44">
        <v>1815</v>
      </c>
    </row>
    <row r="11" spans="1:74" ht="14.25" customHeight="1">
      <c r="A11" s="42">
        <v>1058712</v>
      </c>
      <c r="B11" s="42">
        <v>5</v>
      </c>
      <c r="C11" s="42">
        <v>20607818526</v>
      </c>
      <c r="D11" s="42" t="s">
        <v>119</v>
      </c>
      <c r="E11" s="42" t="s">
        <v>436</v>
      </c>
      <c r="F11" s="42" t="s">
        <v>626</v>
      </c>
      <c r="G11" s="42" t="s">
        <v>687</v>
      </c>
      <c r="H11" s="42" t="s">
        <v>439</v>
      </c>
      <c r="I11" s="42">
        <v>5533</v>
      </c>
      <c r="J11" s="42" t="s">
        <v>583</v>
      </c>
      <c r="K11" s="42" t="s">
        <v>688</v>
      </c>
      <c r="L11" s="42" t="s">
        <v>689</v>
      </c>
      <c r="M11" s="42" t="s">
        <v>122</v>
      </c>
      <c r="N11" s="42" t="s">
        <v>122</v>
      </c>
      <c r="O11" s="42" t="s">
        <v>443</v>
      </c>
      <c r="P11" s="42" t="s">
        <v>122</v>
      </c>
      <c r="Q11" s="42" t="s">
        <v>690</v>
      </c>
      <c r="R11" s="42">
        <v>20260527</v>
      </c>
      <c r="S11" s="42" t="s">
        <v>473</v>
      </c>
      <c r="T11" s="42" t="s">
        <v>445</v>
      </c>
      <c r="U11" s="42" t="s">
        <v>120</v>
      </c>
      <c r="V11" s="42">
        <v>2003008401606</v>
      </c>
      <c r="W11" s="42">
        <v>983488168</v>
      </c>
      <c r="X11" s="42" t="s">
        <v>33</v>
      </c>
      <c r="Y11" s="42" t="s">
        <v>475</v>
      </c>
      <c r="Z11" s="42" t="s">
        <v>446</v>
      </c>
      <c r="AA11" s="42" t="s">
        <v>447</v>
      </c>
      <c r="AB11" s="42" t="s">
        <v>121</v>
      </c>
      <c r="AC11" s="42" t="s">
        <v>192</v>
      </c>
      <c r="AD11" s="42"/>
      <c r="AE11" s="42" t="s">
        <v>148</v>
      </c>
      <c r="AF11" s="42" t="s">
        <v>122</v>
      </c>
      <c r="AG11" s="42">
        <v>1128</v>
      </c>
      <c r="AH11" s="42" t="s">
        <v>448</v>
      </c>
      <c r="AI11" s="42" t="s">
        <v>679</v>
      </c>
      <c r="AJ11" s="42" t="s">
        <v>184</v>
      </c>
      <c r="AK11" s="42" t="s">
        <v>449</v>
      </c>
      <c r="AL11" s="42" t="s">
        <v>121</v>
      </c>
      <c r="AM11" s="42"/>
      <c r="AN11" s="42" t="s">
        <v>122</v>
      </c>
      <c r="AO11" s="42" t="s">
        <v>691</v>
      </c>
      <c r="AP11" s="42"/>
      <c r="AQ11" s="42" t="s">
        <v>449</v>
      </c>
      <c r="AR11" s="42" t="s">
        <v>114</v>
      </c>
      <c r="AS11" s="42" t="s">
        <v>114</v>
      </c>
      <c r="AT11" s="42">
        <v>0</v>
      </c>
      <c r="AU11" s="42">
        <v>0</v>
      </c>
      <c r="AV11" s="42" t="s">
        <v>692</v>
      </c>
      <c r="AW11" s="42" t="s">
        <v>693</v>
      </c>
      <c r="AX11" s="42"/>
      <c r="AY11" s="42"/>
      <c r="AZ11" s="42">
        <v>1</v>
      </c>
      <c r="BA11" s="89">
        <v>8015</v>
      </c>
      <c r="BB11" s="89">
        <v>8015</v>
      </c>
      <c r="BC11" s="89">
        <v>8015</v>
      </c>
      <c r="BD11" s="89">
        <v>8015</v>
      </c>
      <c r="BE11" s="89">
        <v>8015</v>
      </c>
      <c r="BF11" s="89">
        <v>0</v>
      </c>
      <c r="BG11" s="89">
        <v>8015</v>
      </c>
      <c r="BH11" s="125">
        <v>8015</v>
      </c>
      <c r="BI11" s="89">
        <v>1</v>
      </c>
      <c r="BJ11" s="89">
        <v>1</v>
      </c>
      <c r="BK11" s="89">
        <v>8015</v>
      </c>
      <c r="BL11" s="89">
        <v>8015</v>
      </c>
      <c r="BM11" s="89">
        <v>8015</v>
      </c>
      <c r="BN11" s="89" t="s">
        <v>461</v>
      </c>
      <c r="BO11" s="42" t="s">
        <v>461</v>
      </c>
      <c r="BP11" s="42"/>
      <c r="BQ11" s="42">
        <v>0</v>
      </c>
      <c r="BR11" s="42">
        <v>202605</v>
      </c>
      <c r="BS11" s="42">
        <v>202606</v>
      </c>
      <c r="BT11" s="89">
        <v>8015</v>
      </c>
      <c r="BU11" s="44">
        <v>0</v>
      </c>
      <c r="BV11" s="44">
        <v>8015</v>
      </c>
    </row>
    <row r="12" spans="1:74" ht="14.25" customHeight="1">
      <c r="A12" s="42">
        <v>1058662</v>
      </c>
      <c r="B12" s="42">
        <v>5</v>
      </c>
      <c r="C12" s="42">
        <v>20608874055</v>
      </c>
      <c r="D12" s="42" t="s">
        <v>645</v>
      </c>
      <c r="E12" s="42" t="s">
        <v>452</v>
      </c>
      <c r="F12" s="42" t="s">
        <v>646</v>
      </c>
      <c r="G12" s="42" t="s">
        <v>647</v>
      </c>
      <c r="H12" s="42" t="s">
        <v>439</v>
      </c>
      <c r="I12" s="42">
        <v>5137</v>
      </c>
      <c r="J12" s="42" t="s">
        <v>577</v>
      </c>
      <c r="K12" s="42" t="s">
        <v>652</v>
      </c>
      <c r="L12" s="42" t="s">
        <v>484</v>
      </c>
      <c r="M12" s="42" t="s">
        <v>122</v>
      </c>
      <c r="N12" s="42" t="s">
        <v>122</v>
      </c>
      <c r="O12" s="42" t="s">
        <v>443</v>
      </c>
      <c r="P12" s="42" t="s">
        <v>122</v>
      </c>
      <c r="Q12" s="42" t="s">
        <v>653</v>
      </c>
      <c r="R12" s="42">
        <v>20260526</v>
      </c>
      <c r="S12" s="42" t="s">
        <v>473</v>
      </c>
      <c r="T12" s="42" t="s">
        <v>445</v>
      </c>
      <c r="U12" s="42" t="s">
        <v>120</v>
      </c>
      <c r="V12" s="42">
        <v>2003004250174</v>
      </c>
      <c r="W12" s="42">
        <v>926762682</v>
      </c>
      <c r="X12" s="42" t="s">
        <v>33</v>
      </c>
      <c r="Y12" s="42" t="s">
        <v>475</v>
      </c>
      <c r="Z12" s="42" t="s">
        <v>446</v>
      </c>
      <c r="AA12" s="42" t="s">
        <v>447</v>
      </c>
      <c r="AB12" s="42" t="s">
        <v>121</v>
      </c>
      <c r="AC12" s="42" t="s">
        <v>200</v>
      </c>
      <c r="AD12" s="42"/>
      <c r="AE12" s="42" t="s">
        <v>148</v>
      </c>
      <c r="AF12" s="42" t="s">
        <v>122</v>
      </c>
      <c r="AG12" s="42">
        <v>1128</v>
      </c>
      <c r="AH12" s="42" t="s">
        <v>448</v>
      </c>
      <c r="AI12" s="42" t="s">
        <v>679</v>
      </c>
      <c r="AJ12" s="42" t="s">
        <v>184</v>
      </c>
      <c r="AK12" s="42" t="s">
        <v>449</v>
      </c>
      <c r="AL12" s="42" t="s">
        <v>121</v>
      </c>
      <c r="AM12" s="42"/>
      <c r="AN12" s="42" t="s">
        <v>122</v>
      </c>
      <c r="AO12" s="42" t="s">
        <v>581</v>
      </c>
      <c r="AP12" s="42"/>
      <c r="AQ12" s="42" t="s">
        <v>449</v>
      </c>
      <c r="AR12" s="42" t="s">
        <v>114</v>
      </c>
      <c r="AS12" s="42" t="s">
        <v>114</v>
      </c>
      <c r="AT12" s="42">
        <v>1686.166666666667</v>
      </c>
      <c r="AU12" s="42">
        <v>589.83333333333337</v>
      </c>
      <c r="AV12" s="42" t="s">
        <v>650</v>
      </c>
      <c r="AW12" s="42" t="s">
        <v>651</v>
      </c>
      <c r="AX12" s="42"/>
      <c r="AY12" s="42"/>
      <c r="AZ12" s="42">
        <v>1</v>
      </c>
      <c r="BA12" s="89">
        <v>1183.7</v>
      </c>
      <c r="BB12" s="89">
        <v>793.69999999999993</v>
      </c>
      <c r="BC12" s="89">
        <v>793.69999999999993</v>
      </c>
      <c r="BD12" s="89">
        <v>793.69999999999993</v>
      </c>
      <c r="BE12" s="89">
        <v>0</v>
      </c>
      <c r="BF12" s="89">
        <v>0</v>
      </c>
      <c r="BG12" s="89">
        <v>0</v>
      </c>
      <c r="BH12" s="125">
        <v>203.86666666666659</v>
      </c>
      <c r="BI12" s="89">
        <v>0</v>
      </c>
      <c r="BJ12" s="89">
        <v>0</v>
      </c>
      <c r="BK12" s="89">
        <v>0</v>
      </c>
      <c r="BL12" s="89">
        <v>0</v>
      </c>
      <c r="BM12" s="89">
        <v>0</v>
      </c>
      <c r="BN12" s="89" t="s">
        <v>461</v>
      </c>
      <c r="BO12" s="42" t="s">
        <v>461</v>
      </c>
      <c r="BP12" s="42"/>
      <c r="BQ12" s="42">
        <v>0</v>
      </c>
      <c r="BR12" s="42">
        <v>202605</v>
      </c>
      <c r="BS12" s="42"/>
      <c r="BT12" s="89" t="s">
        <v>451</v>
      </c>
      <c r="BU12" s="44" t="s">
        <v>451</v>
      </c>
      <c r="BV12" s="44" t="s">
        <v>451</v>
      </c>
    </row>
    <row r="13" spans="1:74" ht="14.25" customHeight="1">
      <c r="A13" s="42">
        <v>1058642</v>
      </c>
      <c r="B13" s="42">
        <v>7</v>
      </c>
      <c r="C13" s="42">
        <v>20611972246</v>
      </c>
      <c r="D13" s="42" t="s">
        <v>119</v>
      </c>
      <c r="E13" s="42" t="s">
        <v>452</v>
      </c>
      <c r="F13" s="42" t="s">
        <v>556</v>
      </c>
      <c r="G13" s="42" t="s">
        <v>556</v>
      </c>
      <c r="H13" s="42" t="s">
        <v>439</v>
      </c>
      <c r="I13" s="42">
        <v>8062</v>
      </c>
      <c r="J13" s="42" t="s">
        <v>641</v>
      </c>
      <c r="K13" s="42" t="s">
        <v>642</v>
      </c>
      <c r="L13" s="42" t="s">
        <v>507</v>
      </c>
      <c r="M13" s="42" t="s">
        <v>122</v>
      </c>
      <c r="N13" s="42" t="s">
        <v>122</v>
      </c>
      <c r="O13" s="42" t="s">
        <v>443</v>
      </c>
      <c r="P13" s="42" t="s">
        <v>122</v>
      </c>
      <c r="Q13" s="42" t="s">
        <v>643</v>
      </c>
      <c r="R13" s="42">
        <v>20260525</v>
      </c>
      <c r="S13" s="42" t="s">
        <v>473</v>
      </c>
      <c r="T13" s="42" t="s">
        <v>445</v>
      </c>
      <c r="U13" s="42" t="s">
        <v>499</v>
      </c>
      <c r="V13" s="42">
        <v>1917100178068</v>
      </c>
      <c r="W13" s="42">
        <v>950009751</v>
      </c>
      <c r="X13" s="42" t="s">
        <v>33</v>
      </c>
      <c r="Y13" s="42" t="s">
        <v>475</v>
      </c>
      <c r="Z13" s="42" t="s">
        <v>446</v>
      </c>
      <c r="AA13" s="42" t="s">
        <v>447</v>
      </c>
      <c r="AB13" s="42" t="s">
        <v>121</v>
      </c>
      <c r="AC13" s="42" t="s">
        <v>156</v>
      </c>
      <c r="AD13" s="42"/>
      <c r="AE13" s="42" t="s">
        <v>148</v>
      </c>
      <c r="AF13" s="42" t="s">
        <v>122</v>
      </c>
      <c r="AG13" s="42">
        <v>1128</v>
      </c>
      <c r="AH13" s="42" t="s">
        <v>448</v>
      </c>
      <c r="AI13" s="42" t="s">
        <v>679</v>
      </c>
      <c r="AJ13" s="42" t="s">
        <v>184</v>
      </c>
      <c r="AK13" s="42" t="s">
        <v>449</v>
      </c>
      <c r="AL13" s="42" t="s">
        <v>121</v>
      </c>
      <c r="AM13" s="42"/>
      <c r="AN13" s="42" t="s">
        <v>122</v>
      </c>
      <c r="AO13" s="42" t="s">
        <v>644</v>
      </c>
      <c r="AP13" s="42"/>
      <c r="AQ13" s="42" t="s">
        <v>449</v>
      </c>
      <c r="AR13" s="42" t="s">
        <v>114</v>
      </c>
      <c r="AS13" s="42" t="s">
        <v>114</v>
      </c>
      <c r="AT13" s="42">
        <v>0</v>
      </c>
      <c r="AU13" s="42">
        <v>0</v>
      </c>
      <c r="AV13" s="42"/>
      <c r="AW13" s="42"/>
      <c r="AX13" s="42"/>
      <c r="AY13" s="42"/>
      <c r="AZ13" s="42">
        <v>1</v>
      </c>
      <c r="BA13" s="89">
        <v>0</v>
      </c>
      <c r="BB13" s="89">
        <v>0</v>
      </c>
      <c r="BC13" s="89">
        <v>0</v>
      </c>
      <c r="BD13" s="89">
        <v>0</v>
      </c>
      <c r="BE13" s="89">
        <v>0</v>
      </c>
      <c r="BF13" s="89">
        <v>0</v>
      </c>
      <c r="BG13" s="89">
        <v>0</v>
      </c>
      <c r="BH13" s="125">
        <v>0</v>
      </c>
      <c r="BI13" s="89">
        <v>0</v>
      </c>
      <c r="BJ13" s="89">
        <v>0</v>
      </c>
      <c r="BK13" s="89">
        <v>0</v>
      </c>
      <c r="BL13" s="89">
        <v>0</v>
      </c>
      <c r="BM13" s="89">
        <v>0</v>
      </c>
      <c r="BN13" s="89"/>
      <c r="BO13" s="42"/>
      <c r="BP13" s="42"/>
      <c r="BQ13" s="42">
        <v>0</v>
      </c>
      <c r="BR13" s="42">
        <v>202605</v>
      </c>
      <c r="BS13" s="42"/>
      <c r="BT13" s="89" t="s">
        <v>451</v>
      </c>
      <c r="BU13" s="44" t="s">
        <v>451</v>
      </c>
      <c r="BV13" s="44" t="s">
        <v>451</v>
      </c>
    </row>
    <row r="14" spans="1:74" ht="14.25" customHeight="1">
      <c r="A14" s="42">
        <v>1058477</v>
      </c>
      <c r="B14" s="42">
        <v>7</v>
      </c>
      <c r="C14" s="42">
        <v>10445011164</v>
      </c>
      <c r="D14" s="42" t="s">
        <v>119</v>
      </c>
      <c r="E14" s="42" t="s">
        <v>436</v>
      </c>
      <c r="F14" s="42" t="s">
        <v>524</v>
      </c>
      <c r="G14" s="42" t="s">
        <v>59</v>
      </c>
      <c r="H14" s="42" t="s">
        <v>439</v>
      </c>
      <c r="I14" s="42">
        <v>5411</v>
      </c>
      <c r="J14" s="42" t="s">
        <v>440</v>
      </c>
      <c r="K14" s="42" t="s">
        <v>525</v>
      </c>
      <c r="L14" s="42" t="s">
        <v>526</v>
      </c>
      <c r="M14" s="42" t="s">
        <v>292</v>
      </c>
      <c r="N14" s="42" t="s">
        <v>527</v>
      </c>
      <c r="O14" s="42" t="s">
        <v>292</v>
      </c>
      <c r="P14" s="42" t="s">
        <v>457</v>
      </c>
      <c r="Q14" s="42" t="s">
        <v>528</v>
      </c>
      <c r="R14" s="42">
        <v>20260519</v>
      </c>
      <c r="S14" s="42" t="s">
        <v>473</v>
      </c>
      <c r="T14" s="42" t="s">
        <v>474</v>
      </c>
      <c r="U14" s="42" t="s">
        <v>529</v>
      </c>
      <c r="V14" s="42">
        <v>95109047101400</v>
      </c>
      <c r="W14" s="42">
        <v>923746093</v>
      </c>
      <c r="X14" s="42" t="s">
        <v>33</v>
      </c>
      <c r="Y14" s="42" t="s">
        <v>475</v>
      </c>
      <c r="Z14" s="42" t="s">
        <v>476</v>
      </c>
      <c r="AA14" s="42" t="s">
        <v>447</v>
      </c>
      <c r="AB14" s="42" t="s">
        <v>121</v>
      </c>
      <c r="AC14" s="42" t="s">
        <v>225</v>
      </c>
      <c r="AD14" s="42"/>
      <c r="AE14" s="42" t="s">
        <v>148</v>
      </c>
      <c r="AF14" s="42" t="s">
        <v>292</v>
      </c>
      <c r="AG14" s="42">
        <v>1128</v>
      </c>
      <c r="AH14" s="42" t="s">
        <v>448</v>
      </c>
      <c r="AI14" s="42" t="s">
        <v>679</v>
      </c>
      <c r="AJ14" s="42" t="s">
        <v>680</v>
      </c>
      <c r="AK14" s="42" t="s">
        <v>449</v>
      </c>
      <c r="AL14" s="42" t="s">
        <v>121</v>
      </c>
      <c r="AM14" s="42"/>
      <c r="AN14" s="42" t="s">
        <v>122</v>
      </c>
      <c r="AO14" s="42" t="s">
        <v>450</v>
      </c>
      <c r="AP14" s="42"/>
      <c r="AQ14" s="42" t="s">
        <v>449</v>
      </c>
      <c r="AR14" s="42" t="s">
        <v>114</v>
      </c>
      <c r="AS14" s="42" t="s">
        <v>114</v>
      </c>
      <c r="AT14" s="42">
        <v>0</v>
      </c>
      <c r="AU14" s="42">
        <v>0</v>
      </c>
      <c r="AV14" s="42" t="s">
        <v>530</v>
      </c>
      <c r="AW14" s="42" t="s">
        <v>530</v>
      </c>
      <c r="AX14" s="42"/>
      <c r="AY14" s="42"/>
      <c r="AZ14" s="42">
        <v>1</v>
      </c>
      <c r="BA14" s="89">
        <v>0</v>
      </c>
      <c r="BB14" s="89">
        <v>0</v>
      </c>
      <c r="BC14" s="89">
        <v>0</v>
      </c>
      <c r="BD14" s="89">
        <v>0</v>
      </c>
      <c r="BE14" s="89">
        <v>0</v>
      </c>
      <c r="BF14" s="89">
        <v>0</v>
      </c>
      <c r="BG14" s="89">
        <v>0</v>
      </c>
      <c r="BH14" s="125">
        <v>0</v>
      </c>
      <c r="BI14" s="89">
        <v>0</v>
      </c>
      <c r="BJ14" s="89">
        <v>0</v>
      </c>
      <c r="BK14" s="89">
        <v>0</v>
      </c>
      <c r="BL14" s="89">
        <v>0</v>
      </c>
      <c r="BM14" s="89">
        <v>0</v>
      </c>
      <c r="BN14" s="89" t="s">
        <v>461</v>
      </c>
      <c r="BO14" s="42" t="s">
        <v>461</v>
      </c>
      <c r="BP14" s="42"/>
      <c r="BQ14" s="42">
        <v>0</v>
      </c>
      <c r="BR14" s="42">
        <v>202605</v>
      </c>
      <c r="BS14" s="42"/>
      <c r="BT14" s="89" t="s">
        <v>451</v>
      </c>
      <c r="BU14" s="44" t="s">
        <v>451</v>
      </c>
      <c r="BV14" s="44" t="s">
        <v>451</v>
      </c>
    </row>
    <row r="15" spans="1:74" ht="14.25" customHeight="1">
      <c r="A15" s="42">
        <v>1058648</v>
      </c>
      <c r="B15" s="42">
        <v>5</v>
      </c>
      <c r="C15" s="42">
        <v>20608874055</v>
      </c>
      <c r="D15" s="42" t="s">
        <v>645</v>
      </c>
      <c r="E15" s="42" t="s">
        <v>452</v>
      </c>
      <c r="F15" s="42" t="s">
        <v>646</v>
      </c>
      <c r="G15" s="42" t="s">
        <v>647</v>
      </c>
      <c r="H15" s="42" t="s">
        <v>439</v>
      </c>
      <c r="I15" s="42">
        <v>5137</v>
      </c>
      <c r="J15" s="42" t="s">
        <v>577</v>
      </c>
      <c r="K15" s="42" t="s">
        <v>648</v>
      </c>
      <c r="L15" s="42" t="s">
        <v>602</v>
      </c>
      <c r="M15" s="42" t="s">
        <v>122</v>
      </c>
      <c r="N15" s="42" t="s">
        <v>122</v>
      </c>
      <c r="O15" s="42" t="s">
        <v>443</v>
      </c>
      <c r="P15" s="42" t="s">
        <v>122</v>
      </c>
      <c r="Q15" s="42" t="s">
        <v>649</v>
      </c>
      <c r="R15" s="42">
        <v>20260525</v>
      </c>
      <c r="S15" s="42" t="s">
        <v>473</v>
      </c>
      <c r="T15" s="42" t="s">
        <v>445</v>
      </c>
      <c r="U15" s="42" t="s">
        <v>120</v>
      </c>
      <c r="V15" s="42">
        <v>2003004250174</v>
      </c>
      <c r="W15" s="42">
        <v>926762682</v>
      </c>
      <c r="X15" s="42" t="s">
        <v>33</v>
      </c>
      <c r="Y15" s="42" t="s">
        <v>475</v>
      </c>
      <c r="Z15" s="42" t="s">
        <v>446</v>
      </c>
      <c r="AA15" s="42" t="s">
        <v>447</v>
      </c>
      <c r="AB15" s="42" t="s">
        <v>121</v>
      </c>
      <c r="AC15" s="42" t="s">
        <v>200</v>
      </c>
      <c r="AD15" s="42"/>
      <c r="AE15" s="42" t="s">
        <v>148</v>
      </c>
      <c r="AF15" s="42" t="s">
        <v>122</v>
      </c>
      <c r="AG15" s="42">
        <v>1128</v>
      </c>
      <c r="AH15" s="42" t="s">
        <v>448</v>
      </c>
      <c r="AI15" s="42" t="s">
        <v>679</v>
      </c>
      <c r="AJ15" s="42" t="s">
        <v>184</v>
      </c>
      <c r="AK15" s="42" t="s">
        <v>449</v>
      </c>
      <c r="AL15" s="42" t="s">
        <v>121</v>
      </c>
      <c r="AM15" s="42"/>
      <c r="AN15" s="42" t="s">
        <v>122</v>
      </c>
      <c r="AO15" s="42" t="s">
        <v>581</v>
      </c>
      <c r="AP15" s="42"/>
      <c r="AQ15" s="42" t="s">
        <v>449</v>
      </c>
      <c r="AR15" s="42" t="s">
        <v>114</v>
      </c>
      <c r="AS15" s="42" t="s">
        <v>114</v>
      </c>
      <c r="AT15" s="42">
        <v>1686.166666666667</v>
      </c>
      <c r="AU15" s="42">
        <v>589.83333333333337</v>
      </c>
      <c r="AV15" s="42" t="s">
        <v>650</v>
      </c>
      <c r="AW15" s="42" t="s">
        <v>651</v>
      </c>
      <c r="AX15" s="42"/>
      <c r="AY15" s="42"/>
      <c r="AZ15" s="42">
        <v>1</v>
      </c>
      <c r="BA15" s="89">
        <v>1183.7</v>
      </c>
      <c r="BB15" s="89">
        <v>793.69999999999993</v>
      </c>
      <c r="BC15" s="89">
        <v>793.69999999999993</v>
      </c>
      <c r="BD15" s="89">
        <v>793.69999999999993</v>
      </c>
      <c r="BE15" s="89">
        <v>0</v>
      </c>
      <c r="BF15" s="89">
        <v>0</v>
      </c>
      <c r="BG15" s="89">
        <v>0</v>
      </c>
      <c r="BH15" s="125">
        <v>203.86666666666659</v>
      </c>
      <c r="BI15" s="89">
        <v>1</v>
      </c>
      <c r="BJ15" s="89">
        <v>1</v>
      </c>
      <c r="BK15" s="89">
        <v>203.86666666666659</v>
      </c>
      <c r="BL15" s="89">
        <v>793.69999999999993</v>
      </c>
      <c r="BM15" s="89">
        <v>793.69999999999993</v>
      </c>
      <c r="BN15" s="89" t="s">
        <v>461</v>
      </c>
      <c r="BO15" s="42" t="s">
        <v>461</v>
      </c>
      <c r="BP15" s="42"/>
      <c r="BQ15" s="42">
        <v>0</v>
      </c>
      <c r="BR15" s="42">
        <v>202605</v>
      </c>
      <c r="BS15" s="42">
        <v>202606</v>
      </c>
      <c r="BT15" s="89">
        <v>793.7</v>
      </c>
      <c r="BU15" s="44">
        <v>0</v>
      </c>
      <c r="BV15" s="44">
        <v>793.7</v>
      </c>
    </row>
    <row r="16" spans="1:74" ht="14.25" customHeight="1">
      <c r="A16" s="42">
        <v>5946377</v>
      </c>
      <c r="B16" s="42">
        <v>1</v>
      </c>
      <c r="C16" s="42">
        <v>20533799401</v>
      </c>
      <c r="D16" s="42" t="s">
        <v>119</v>
      </c>
      <c r="E16" s="42" t="s">
        <v>452</v>
      </c>
      <c r="F16" s="42" t="s">
        <v>453</v>
      </c>
      <c r="G16" s="42" t="s">
        <v>39</v>
      </c>
      <c r="H16" s="42" t="s">
        <v>439</v>
      </c>
      <c r="I16" s="42">
        <v>5499</v>
      </c>
      <c r="J16" s="42" t="s">
        <v>115</v>
      </c>
      <c r="K16" s="42" t="s">
        <v>454</v>
      </c>
      <c r="L16" s="42" t="s">
        <v>455</v>
      </c>
      <c r="M16" s="42" t="s">
        <v>455</v>
      </c>
      <c r="N16" s="42" t="s">
        <v>456</v>
      </c>
      <c r="O16" s="42"/>
      <c r="P16" s="42" t="s">
        <v>457</v>
      </c>
      <c r="Q16" s="42" t="s">
        <v>511</v>
      </c>
      <c r="R16" s="42">
        <v>20260511</v>
      </c>
      <c r="S16" s="42" t="s">
        <v>116</v>
      </c>
      <c r="T16" s="42" t="s">
        <v>445</v>
      </c>
      <c r="U16" s="42" t="s">
        <v>120</v>
      </c>
      <c r="V16" s="42">
        <v>2003005072032</v>
      </c>
      <c r="W16" s="42">
        <v>958200576</v>
      </c>
      <c r="X16" s="42" t="s">
        <v>117</v>
      </c>
      <c r="Y16" s="42" t="s">
        <v>44</v>
      </c>
      <c r="Z16" s="42" t="s">
        <v>446</v>
      </c>
      <c r="AA16" s="42" t="s">
        <v>447</v>
      </c>
      <c r="AB16" s="42" t="s">
        <v>121</v>
      </c>
      <c r="AC16" s="42" t="s">
        <v>118</v>
      </c>
      <c r="AD16" s="42"/>
      <c r="AE16" s="42" t="s">
        <v>148</v>
      </c>
      <c r="AF16" s="42"/>
      <c r="AG16" s="42">
        <v>1128</v>
      </c>
      <c r="AH16" s="42" t="s">
        <v>448</v>
      </c>
      <c r="AI16" s="42" t="s">
        <v>679</v>
      </c>
      <c r="AJ16" s="42" t="s">
        <v>184</v>
      </c>
      <c r="AK16" s="42" t="s">
        <v>449</v>
      </c>
      <c r="AL16" s="42" t="s">
        <v>121</v>
      </c>
      <c r="AM16" s="42"/>
      <c r="AN16" s="42" t="s">
        <v>122</v>
      </c>
      <c r="AO16" s="42" t="s">
        <v>123</v>
      </c>
      <c r="AP16" s="42"/>
      <c r="AQ16" s="42" t="s">
        <v>449</v>
      </c>
      <c r="AR16" s="42" t="s">
        <v>114</v>
      </c>
      <c r="AS16" s="42" t="s">
        <v>114</v>
      </c>
      <c r="AT16" s="42">
        <v>0</v>
      </c>
      <c r="AU16" s="42">
        <v>0</v>
      </c>
      <c r="AV16" s="42" t="s">
        <v>459</v>
      </c>
      <c r="AW16" s="42" t="s">
        <v>460</v>
      </c>
      <c r="AX16" s="42" t="s">
        <v>118</v>
      </c>
      <c r="AY16" s="42" t="s">
        <v>451</v>
      </c>
      <c r="AZ16" s="42">
        <v>1</v>
      </c>
      <c r="BA16" s="89">
        <v>31668</v>
      </c>
      <c r="BB16" s="89">
        <v>31668</v>
      </c>
      <c r="BC16" s="89">
        <v>31668</v>
      </c>
      <c r="BD16" s="89">
        <v>31668</v>
      </c>
      <c r="BE16" s="89">
        <v>15326</v>
      </c>
      <c r="BF16" s="89">
        <v>4542</v>
      </c>
      <c r="BG16" s="89">
        <v>10784</v>
      </c>
      <c r="BH16" s="125">
        <v>31668</v>
      </c>
      <c r="BI16" s="89">
        <v>0.48395857016546667</v>
      </c>
      <c r="BJ16" s="89">
        <v>0.48395857016546667</v>
      </c>
      <c r="BK16" s="89">
        <v>15326</v>
      </c>
      <c r="BL16" s="89">
        <v>15326</v>
      </c>
      <c r="BM16" s="89">
        <v>15326</v>
      </c>
      <c r="BN16" s="89" t="s">
        <v>461</v>
      </c>
      <c r="BO16" s="42" t="s">
        <v>461</v>
      </c>
      <c r="BP16" s="42"/>
      <c r="BQ16" s="42">
        <v>19372</v>
      </c>
      <c r="BR16" s="42">
        <v>202605</v>
      </c>
      <c r="BS16" s="42">
        <v>202606</v>
      </c>
      <c r="BT16" s="89">
        <v>15326</v>
      </c>
      <c r="BU16" s="44">
        <v>4542</v>
      </c>
      <c r="BV16" s="44">
        <v>10784</v>
      </c>
    </row>
    <row r="17" spans="1:74" ht="14.25" customHeight="1">
      <c r="A17" s="42">
        <v>5946827</v>
      </c>
      <c r="B17" s="42">
        <v>1</v>
      </c>
      <c r="C17" s="42">
        <v>10413980076</v>
      </c>
      <c r="D17" s="42" t="s">
        <v>119</v>
      </c>
      <c r="E17" s="42" t="s">
        <v>436</v>
      </c>
      <c r="F17" s="42" t="s">
        <v>505</v>
      </c>
      <c r="G17" s="42" t="s">
        <v>67</v>
      </c>
      <c r="H17" s="42" t="s">
        <v>439</v>
      </c>
      <c r="I17" s="42">
        <v>5999</v>
      </c>
      <c r="J17" s="42" t="s">
        <v>127</v>
      </c>
      <c r="K17" s="42" t="s">
        <v>506</v>
      </c>
      <c r="L17" s="42" t="s">
        <v>507</v>
      </c>
      <c r="M17" s="42" t="s">
        <v>122</v>
      </c>
      <c r="N17" s="42" t="s">
        <v>122</v>
      </c>
      <c r="O17" s="42"/>
      <c r="P17" s="42" t="s">
        <v>122</v>
      </c>
      <c r="Q17" s="42" t="s">
        <v>508</v>
      </c>
      <c r="R17" s="42">
        <v>20260512</v>
      </c>
      <c r="S17" s="42" t="s">
        <v>116</v>
      </c>
      <c r="T17" s="42" t="s">
        <v>474</v>
      </c>
      <c r="U17" s="42" t="s">
        <v>120</v>
      </c>
      <c r="V17" s="42">
        <v>8983160106931</v>
      </c>
      <c r="W17" s="42">
        <v>999197824</v>
      </c>
      <c r="X17" s="42" t="s">
        <v>117</v>
      </c>
      <c r="Y17" s="42" t="s">
        <v>66</v>
      </c>
      <c r="Z17" s="42" t="s">
        <v>476</v>
      </c>
      <c r="AA17" s="42" t="s">
        <v>447</v>
      </c>
      <c r="AB17" s="42" t="s">
        <v>121</v>
      </c>
      <c r="AC17" s="42" t="s">
        <v>128</v>
      </c>
      <c r="AD17" s="42"/>
      <c r="AE17" s="42" t="s">
        <v>148</v>
      </c>
      <c r="AF17" s="42"/>
      <c r="AG17" s="42">
        <v>1128</v>
      </c>
      <c r="AH17" s="42" t="s">
        <v>448</v>
      </c>
      <c r="AI17" s="42" t="s">
        <v>679</v>
      </c>
      <c r="AJ17" s="42" t="s">
        <v>184</v>
      </c>
      <c r="AK17" s="42" t="s">
        <v>449</v>
      </c>
      <c r="AL17" s="42" t="s">
        <v>121</v>
      </c>
      <c r="AM17" s="42"/>
      <c r="AN17" s="42" t="s">
        <v>122</v>
      </c>
      <c r="AO17" s="42" t="s">
        <v>129</v>
      </c>
      <c r="AP17" s="42"/>
      <c r="AQ17" s="42" t="s">
        <v>449</v>
      </c>
      <c r="AR17" s="42" t="s">
        <v>114</v>
      </c>
      <c r="AS17" s="42" t="s">
        <v>114</v>
      </c>
      <c r="AT17" s="42">
        <v>0</v>
      </c>
      <c r="AU17" s="42">
        <v>0</v>
      </c>
      <c r="AV17" s="42" t="s">
        <v>509</v>
      </c>
      <c r="AW17" s="42" t="s">
        <v>509</v>
      </c>
      <c r="AX17" s="42" t="s">
        <v>128</v>
      </c>
      <c r="AY17" s="42" t="s">
        <v>451</v>
      </c>
      <c r="AZ17" s="42">
        <v>1</v>
      </c>
      <c r="BA17" s="89">
        <v>976</v>
      </c>
      <c r="BB17" s="89">
        <v>976</v>
      </c>
      <c r="BC17" s="89">
        <v>976</v>
      </c>
      <c r="BD17" s="89">
        <v>976</v>
      </c>
      <c r="BE17" s="89">
        <v>976</v>
      </c>
      <c r="BF17" s="89">
        <v>0</v>
      </c>
      <c r="BG17" s="89">
        <v>976</v>
      </c>
      <c r="BH17" s="125">
        <v>976</v>
      </c>
      <c r="BI17" s="89">
        <v>1</v>
      </c>
      <c r="BJ17" s="89">
        <v>1</v>
      </c>
      <c r="BK17" s="89">
        <v>976</v>
      </c>
      <c r="BL17" s="89">
        <v>976</v>
      </c>
      <c r="BM17" s="89">
        <v>976</v>
      </c>
      <c r="BN17" s="89" t="s">
        <v>461</v>
      </c>
      <c r="BO17" s="42" t="s">
        <v>510</v>
      </c>
      <c r="BP17" s="42"/>
      <c r="BQ17" s="42">
        <v>486</v>
      </c>
      <c r="BR17" s="42">
        <v>202605</v>
      </c>
      <c r="BS17" s="42">
        <v>202606</v>
      </c>
      <c r="BT17" s="89">
        <v>976</v>
      </c>
      <c r="BU17" s="44">
        <v>0</v>
      </c>
      <c r="BV17" s="44">
        <v>976</v>
      </c>
    </row>
    <row r="18" spans="1:74" ht="14.25" customHeight="1">
      <c r="A18" s="42">
        <v>5946666</v>
      </c>
      <c r="B18" s="42">
        <v>1</v>
      </c>
      <c r="C18" s="42">
        <v>20533799401</v>
      </c>
      <c r="D18" s="42" t="s">
        <v>119</v>
      </c>
      <c r="E18" s="42" t="s">
        <v>452</v>
      </c>
      <c r="F18" s="42" t="s">
        <v>453</v>
      </c>
      <c r="G18" s="42" t="s">
        <v>39</v>
      </c>
      <c r="H18" s="42" t="s">
        <v>439</v>
      </c>
      <c r="I18" s="42">
        <v>5499</v>
      </c>
      <c r="J18" s="42" t="s">
        <v>115</v>
      </c>
      <c r="K18" s="42" t="s">
        <v>454</v>
      </c>
      <c r="L18" s="42" t="s">
        <v>455</v>
      </c>
      <c r="M18" s="42" t="s">
        <v>455</v>
      </c>
      <c r="N18" s="42" t="s">
        <v>456</v>
      </c>
      <c r="O18" s="42"/>
      <c r="P18" s="42" t="s">
        <v>457</v>
      </c>
      <c r="Q18" s="42" t="s">
        <v>458</v>
      </c>
      <c r="R18" s="42">
        <v>20260512</v>
      </c>
      <c r="S18" s="42" t="s">
        <v>116</v>
      </c>
      <c r="T18" s="42" t="s">
        <v>445</v>
      </c>
      <c r="U18" s="42" t="s">
        <v>120</v>
      </c>
      <c r="V18" s="42">
        <v>2003005072032</v>
      </c>
      <c r="W18" s="42">
        <v>958200576</v>
      </c>
      <c r="X18" s="42" t="s">
        <v>117</v>
      </c>
      <c r="Y18" s="42" t="s">
        <v>38</v>
      </c>
      <c r="Z18" s="42" t="s">
        <v>446</v>
      </c>
      <c r="AA18" s="42" t="s">
        <v>447</v>
      </c>
      <c r="AB18" s="42" t="s">
        <v>121</v>
      </c>
      <c r="AC18" s="42" t="s">
        <v>118</v>
      </c>
      <c r="AD18" s="42"/>
      <c r="AE18" s="42" t="s">
        <v>148</v>
      </c>
      <c r="AF18" s="42"/>
      <c r="AG18" s="42">
        <v>1128</v>
      </c>
      <c r="AH18" s="42" t="s">
        <v>448</v>
      </c>
      <c r="AI18" s="42" t="s">
        <v>679</v>
      </c>
      <c r="AJ18" s="42" t="s">
        <v>184</v>
      </c>
      <c r="AK18" s="42" t="s">
        <v>449</v>
      </c>
      <c r="AL18" s="42" t="s">
        <v>121</v>
      </c>
      <c r="AM18" s="42"/>
      <c r="AN18" s="42" t="s">
        <v>122</v>
      </c>
      <c r="AO18" s="42" t="s">
        <v>123</v>
      </c>
      <c r="AP18" s="42"/>
      <c r="AQ18" s="42" t="s">
        <v>449</v>
      </c>
      <c r="AR18" s="42" t="s">
        <v>114</v>
      </c>
      <c r="AS18" s="42" t="s">
        <v>114</v>
      </c>
      <c r="AT18" s="42">
        <v>0</v>
      </c>
      <c r="AU18" s="42">
        <v>0</v>
      </c>
      <c r="AV18" s="42" t="s">
        <v>459</v>
      </c>
      <c r="AW18" s="42" t="s">
        <v>460</v>
      </c>
      <c r="AX18" s="42" t="s">
        <v>118</v>
      </c>
      <c r="AY18" s="42" t="s">
        <v>451</v>
      </c>
      <c r="AZ18" s="42">
        <v>1</v>
      </c>
      <c r="BA18" s="89">
        <v>31668</v>
      </c>
      <c r="BB18" s="89">
        <v>31668</v>
      </c>
      <c r="BC18" s="89">
        <v>31668</v>
      </c>
      <c r="BD18" s="89">
        <v>31668</v>
      </c>
      <c r="BE18" s="89">
        <v>16342</v>
      </c>
      <c r="BF18" s="89">
        <v>4361</v>
      </c>
      <c r="BG18" s="89">
        <v>11981</v>
      </c>
      <c r="BH18" s="125">
        <v>31668</v>
      </c>
      <c r="BI18" s="89">
        <v>0.51604142983453327</v>
      </c>
      <c r="BJ18" s="89">
        <v>0.51604142983453327</v>
      </c>
      <c r="BK18" s="89">
        <v>16342</v>
      </c>
      <c r="BL18" s="89">
        <v>16342</v>
      </c>
      <c r="BM18" s="89">
        <v>16342</v>
      </c>
      <c r="BN18" s="89" t="s">
        <v>461</v>
      </c>
      <c r="BO18" s="42" t="s">
        <v>461</v>
      </c>
      <c r="BP18" s="42"/>
      <c r="BQ18" s="42">
        <v>28136</v>
      </c>
      <c r="BR18" s="42">
        <v>202605</v>
      </c>
      <c r="BS18" s="42">
        <v>202606</v>
      </c>
      <c r="BT18" s="89">
        <v>16342</v>
      </c>
      <c r="BU18" s="44">
        <v>4361</v>
      </c>
      <c r="BV18" s="44">
        <v>11981</v>
      </c>
    </row>
    <row r="19" spans="1:74" ht="14.25" customHeight="1">
      <c r="A19" s="42">
        <v>5946838</v>
      </c>
      <c r="B19" s="42">
        <v>7</v>
      </c>
      <c r="C19" s="42">
        <v>20615538222</v>
      </c>
      <c r="D19" s="42" t="s">
        <v>119</v>
      </c>
      <c r="E19" s="42" t="s">
        <v>436</v>
      </c>
      <c r="F19" s="42" t="s">
        <v>486</v>
      </c>
      <c r="G19" s="42" t="s">
        <v>487</v>
      </c>
      <c r="H19" s="42" t="s">
        <v>439</v>
      </c>
      <c r="I19" s="42">
        <v>5499</v>
      </c>
      <c r="J19" s="42" t="s">
        <v>115</v>
      </c>
      <c r="K19" s="42" t="s">
        <v>488</v>
      </c>
      <c r="L19" s="42" t="s">
        <v>489</v>
      </c>
      <c r="M19" s="42" t="s">
        <v>489</v>
      </c>
      <c r="N19" s="42" t="s">
        <v>489</v>
      </c>
      <c r="O19" s="42"/>
      <c r="P19" s="42" t="s">
        <v>122</v>
      </c>
      <c r="Q19" s="42" t="s">
        <v>490</v>
      </c>
      <c r="R19" s="42">
        <v>20260512</v>
      </c>
      <c r="S19" s="42" t="s">
        <v>116</v>
      </c>
      <c r="T19" s="42" t="s">
        <v>445</v>
      </c>
      <c r="U19" s="42" t="s">
        <v>491</v>
      </c>
      <c r="V19" s="42"/>
      <c r="W19" s="42">
        <v>928198393</v>
      </c>
      <c r="X19" s="42" t="s">
        <v>117</v>
      </c>
      <c r="Y19" s="42" t="s">
        <v>60</v>
      </c>
      <c r="Z19" s="42" t="s">
        <v>446</v>
      </c>
      <c r="AA19" s="42" t="s">
        <v>447</v>
      </c>
      <c r="AB19" s="42" t="s">
        <v>121</v>
      </c>
      <c r="AC19" s="42" t="s">
        <v>235</v>
      </c>
      <c r="AD19" s="42"/>
      <c r="AE19" s="42" t="s">
        <v>148</v>
      </c>
      <c r="AF19" s="42"/>
      <c r="AG19" s="42">
        <v>1128</v>
      </c>
      <c r="AH19" s="42" t="s">
        <v>448</v>
      </c>
      <c r="AI19" s="42" t="s">
        <v>679</v>
      </c>
      <c r="AJ19" s="42" t="s">
        <v>680</v>
      </c>
      <c r="AK19" s="42" t="s">
        <v>449</v>
      </c>
      <c r="AL19" s="42" t="s">
        <v>121</v>
      </c>
      <c r="AM19" s="42"/>
      <c r="AN19" s="42" t="s">
        <v>122</v>
      </c>
      <c r="AO19" s="42" t="s">
        <v>492</v>
      </c>
      <c r="AP19" s="42"/>
      <c r="AQ19" s="42" t="s">
        <v>449</v>
      </c>
      <c r="AR19" s="42" t="s">
        <v>114</v>
      </c>
      <c r="AS19" s="42" t="s">
        <v>114</v>
      </c>
      <c r="AT19" s="42">
        <v>0</v>
      </c>
      <c r="AU19" s="42">
        <v>0</v>
      </c>
      <c r="AV19" s="42"/>
      <c r="AW19" s="42"/>
      <c r="AX19" s="42" t="s">
        <v>235</v>
      </c>
      <c r="AY19" s="42" t="s">
        <v>451</v>
      </c>
      <c r="AZ19" s="42">
        <v>1</v>
      </c>
      <c r="BA19" s="89">
        <v>1000</v>
      </c>
      <c r="BB19" s="89">
        <v>1000</v>
      </c>
      <c r="BC19" s="89">
        <v>1000</v>
      </c>
      <c r="BD19" s="89">
        <v>1000</v>
      </c>
      <c r="BE19" s="89">
        <v>1000</v>
      </c>
      <c r="BF19" s="89">
        <v>0</v>
      </c>
      <c r="BG19" s="89">
        <v>1000</v>
      </c>
      <c r="BH19" s="125">
        <v>1000</v>
      </c>
      <c r="BI19" s="89">
        <v>1</v>
      </c>
      <c r="BJ19" s="89">
        <v>1</v>
      </c>
      <c r="BK19" s="89">
        <v>1000</v>
      </c>
      <c r="BL19" s="89">
        <v>1000</v>
      </c>
      <c r="BM19" s="89">
        <v>1000</v>
      </c>
      <c r="BN19" s="89"/>
      <c r="BO19" s="42"/>
      <c r="BP19" s="42"/>
      <c r="BQ19" s="42">
        <v>0</v>
      </c>
      <c r="BR19" s="42">
        <v>202605</v>
      </c>
      <c r="BS19" s="42">
        <v>202606</v>
      </c>
      <c r="BT19" s="89">
        <v>1000</v>
      </c>
      <c r="BU19" s="44">
        <v>0</v>
      </c>
      <c r="BV19" s="44">
        <v>1000</v>
      </c>
    </row>
    <row r="20" spans="1:74" ht="14.25" customHeight="1">
      <c r="A20" s="42">
        <v>5947651</v>
      </c>
      <c r="B20" s="42">
        <v>1</v>
      </c>
      <c r="C20" s="42">
        <v>20612598780</v>
      </c>
      <c r="D20" s="42" t="s">
        <v>119</v>
      </c>
      <c r="E20" s="42" t="s">
        <v>452</v>
      </c>
      <c r="F20" s="42" t="s">
        <v>462</v>
      </c>
      <c r="G20" s="42" t="s">
        <v>78</v>
      </c>
      <c r="H20" s="42" t="s">
        <v>439</v>
      </c>
      <c r="I20" s="42">
        <v>1520</v>
      </c>
      <c r="J20" s="42" t="s">
        <v>463</v>
      </c>
      <c r="K20" s="42" t="s">
        <v>464</v>
      </c>
      <c r="L20" s="42" t="s">
        <v>465</v>
      </c>
      <c r="M20" s="42" t="s">
        <v>122</v>
      </c>
      <c r="N20" s="42" t="s">
        <v>122</v>
      </c>
      <c r="O20" s="42"/>
      <c r="P20" s="42" t="s">
        <v>122</v>
      </c>
      <c r="Q20" s="42" t="s">
        <v>466</v>
      </c>
      <c r="R20" s="42">
        <v>20260515</v>
      </c>
      <c r="S20" s="42" t="s">
        <v>116</v>
      </c>
      <c r="T20" s="42" t="s">
        <v>445</v>
      </c>
      <c r="U20" s="42" t="s">
        <v>120</v>
      </c>
      <c r="V20" s="42">
        <v>2003006195537</v>
      </c>
      <c r="W20" s="42">
        <v>974834484</v>
      </c>
      <c r="X20" s="42" t="s">
        <v>117</v>
      </c>
      <c r="Y20" s="42" t="s">
        <v>77</v>
      </c>
      <c r="Z20" s="42" t="s">
        <v>446</v>
      </c>
      <c r="AA20" s="42" t="s">
        <v>447</v>
      </c>
      <c r="AB20" s="42" t="s">
        <v>121</v>
      </c>
      <c r="AC20" s="42" t="s">
        <v>175</v>
      </c>
      <c r="AD20" s="42"/>
      <c r="AE20" s="42" t="s">
        <v>148</v>
      </c>
      <c r="AF20" s="42"/>
      <c r="AG20" s="42">
        <v>1128</v>
      </c>
      <c r="AH20" s="42" t="s">
        <v>448</v>
      </c>
      <c r="AI20" s="42" t="s">
        <v>679</v>
      </c>
      <c r="AJ20" s="42" t="s">
        <v>680</v>
      </c>
      <c r="AK20" s="42" t="s">
        <v>449</v>
      </c>
      <c r="AL20" s="42" t="s">
        <v>121</v>
      </c>
      <c r="AM20" s="42"/>
      <c r="AN20" s="42" t="s">
        <v>122</v>
      </c>
      <c r="AO20" s="42" t="s">
        <v>467</v>
      </c>
      <c r="AP20" s="42"/>
      <c r="AQ20" s="42" t="s">
        <v>449</v>
      </c>
      <c r="AR20" s="42" t="s">
        <v>114</v>
      </c>
      <c r="AS20" s="42" t="s">
        <v>114</v>
      </c>
      <c r="AT20" s="42">
        <v>0</v>
      </c>
      <c r="AU20" s="42">
        <v>0</v>
      </c>
      <c r="AV20" s="42" t="s">
        <v>468</v>
      </c>
      <c r="AW20" s="42" t="s">
        <v>469</v>
      </c>
      <c r="AX20" s="42" t="s">
        <v>175</v>
      </c>
      <c r="AY20" s="42" t="s">
        <v>451</v>
      </c>
      <c r="AZ20" s="42">
        <v>1</v>
      </c>
      <c r="BA20" s="89">
        <v>21944.9</v>
      </c>
      <c r="BB20" s="89">
        <v>21944.9</v>
      </c>
      <c r="BC20" s="89">
        <v>21944.9</v>
      </c>
      <c r="BD20" s="89">
        <v>21944.9</v>
      </c>
      <c r="BE20" s="89">
        <v>19100</v>
      </c>
      <c r="BF20" s="89">
        <v>5747</v>
      </c>
      <c r="BG20" s="89">
        <v>13353</v>
      </c>
      <c r="BH20" s="125">
        <v>21944.9</v>
      </c>
      <c r="BI20" s="89">
        <v>0.87036167856768543</v>
      </c>
      <c r="BJ20" s="89">
        <v>0.87036167856768543</v>
      </c>
      <c r="BK20" s="89">
        <v>19100</v>
      </c>
      <c r="BL20" s="89">
        <v>19100</v>
      </c>
      <c r="BM20" s="89">
        <v>19100</v>
      </c>
      <c r="BN20" s="89" t="s">
        <v>461</v>
      </c>
      <c r="BO20" s="42" t="s">
        <v>461</v>
      </c>
      <c r="BP20" s="42"/>
      <c r="BQ20" s="42">
        <v>17809</v>
      </c>
      <c r="BR20" s="42">
        <v>202605</v>
      </c>
      <c r="BS20" s="42">
        <v>202606</v>
      </c>
      <c r="BT20" s="89">
        <v>19100</v>
      </c>
      <c r="BU20" s="44">
        <v>5747</v>
      </c>
      <c r="BV20" s="44">
        <v>13353</v>
      </c>
    </row>
    <row r="21" spans="1:74" ht="14.25" customHeight="1">
      <c r="A21" s="42">
        <v>5947694</v>
      </c>
      <c r="B21" s="42">
        <v>1</v>
      </c>
      <c r="C21" s="42">
        <v>20615727165</v>
      </c>
      <c r="D21" s="42" t="s">
        <v>119</v>
      </c>
      <c r="E21" s="42" t="s">
        <v>436</v>
      </c>
      <c r="F21" s="42" t="s">
        <v>481</v>
      </c>
      <c r="G21" s="42" t="s">
        <v>482</v>
      </c>
      <c r="H21" s="42" t="s">
        <v>439</v>
      </c>
      <c r="I21" s="42">
        <v>5812</v>
      </c>
      <c r="J21" s="42" t="s">
        <v>124</v>
      </c>
      <c r="K21" s="42" t="s">
        <v>483</v>
      </c>
      <c r="L21" s="42" t="s">
        <v>484</v>
      </c>
      <c r="M21" s="42" t="s">
        <v>122</v>
      </c>
      <c r="N21" s="42" t="s">
        <v>122</v>
      </c>
      <c r="O21" s="42" t="s">
        <v>443</v>
      </c>
      <c r="P21" s="42" t="s">
        <v>122</v>
      </c>
      <c r="Q21" s="42" t="s">
        <v>485</v>
      </c>
      <c r="R21" s="42">
        <v>20260515</v>
      </c>
      <c r="S21" s="42" t="s">
        <v>116</v>
      </c>
      <c r="T21" s="42" t="s">
        <v>445</v>
      </c>
      <c r="U21" s="42" t="s">
        <v>120</v>
      </c>
      <c r="V21" s="42">
        <v>2003008159864</v>
      </c>
      <c r="W21" s="42">
        <v>942423815</v>
      </c>
      <c r="X21" s="42" t="s">
        <v>117</v>
      </c>
      <c r="Y21" s="42" t="s">
        <v>83</v>
      </c>
      <c r="Z21" s="42" t="s">
        <v>446</v>
      </c>
      <c r="AA21" s="42" t="s">
        <v>447</v>
      </c>
      <c r="AB21" s="42" t="s">
        <v>121</v>
      </c>
      <c r="AC21" s="42" t="s">
        <v>125</v>
      </c>
      <c r="AD21" s="42"/>
      <c r="AE21" s="42" t="s">
        <v>148</v>
      </c>
      <c r="AF21" s="42" t="s">
        <v>122</v>
      </c>
      <c r="AG21" s="42">
        <v>1128</v>
      </c>
      <c r="AH21" s="42" t="s">
        <v>448</v>
      </c>
      <c r="AI21" s="42" t="s">
        <v>679</v>
      </c>
      <c r="AJ21" s="42" t="s">
        <v>184</v>
      </c>
      <c r="AK21" s="42" t="s">
        <v>449</v>
      </c>
      <c r="AL21" s="42" t="s">
        <v>121</v>
      </c>
      <c r="AM21" s="42"/>
      <c r="AN21" s="42" t="s">
        <v>122</v>
      </c>
      <c r="AO21" s="42" t="s">
        <v>126</v>
      </c>
      <c r="AP21" s="42"/>
      <c r="AQ21" s="42" t="s">
        <v>449</v>
      </c>
      <c r="AR21" s="42" t="s">
        <v>114</v>
      </c>
      <c r="AS21" s="42" t="s">
        <v>114</v>
      </c>
      <c r="AT21" s="42">
        <v>0</v>
      </c>
      <c r="AU21" s="42">
        <v>0</v>
      </c>
      <c r="AV21" s="42"/>
      <c r="AW21" s="42"/>
      <c r="AX21" s="42" t="s">
        <v>125</v>
      </c>
      <c r="AY21" s="42" t="s">
        <v>451</v>
      </c>
      <c r="AZ21" s="42">
        <v>1</v>
      </c>
      <c r="BA21" s="89">
        <v>7190</v>
      </c>
      <c r="BB21" s="89">
        <v>1305</v>
      </c>
      <c r="BC21" s="89">
        <v>7190</v>
      </c>
      <c r="BD21" s="89">
        <v>1305</v>
      </c>
      <c r="BE21" s="89">
        <v>7190</v>
      </c>
      <c r="BF21" s="89">
        <v>6488</v>
      </c>
      <c r="BG21" s="89">
        <v>702</v>
      </c>
      <c r="BH21" s="125">
        <v>1305</v>
      </c>
      <c r="BI21" s="89">
        <v>1</v>
      </c>
      <c r="BJ21" s="89">
        <v>1</v>
      </c>
      <c r="BK21" s="89">
        <v>1305</v>
      </c>
      <c r="BL21" s="89">
        <v>1305</v>
      </c>
      <c r="BM21" s="89">
        <v>7190</v>
      </c>
      <c r="BN21" s="89"/>
      <c r="BO21" s="42"/>
      <c r="BP21" s="42"/>
      <c r="BQ21" s="42">
        <v>3144.2</v>
      </c>
      <c r="BR21" s="42">
        <v>202605</v>
      </c>
      <c r="BS21" s="42">
        <v>202606</v>
      </c>
      <c r="BT21" s="89">
        <v>1305</v>
      </c>
      <c r="BU21" s="44">
        <v>603</v>
      </c>
      <c r="BV21" s="44">
        <v>702</v>
      </c>
    </row>
    <row r="22" spans="1:74" ht="14.25" customHeight="1">
      <c r="A22" s="42">
        <v>5947649</v>
      </c>
      <c r="B22" s="42">
        <v>1</v>
      </c>
      <c r="C22" s="42">
        <v>20614514338</v>
      </c>
      <c r="D22" s="42" t="s">
        <v>119</v>
      </c>
      <c r="E22" s="42" t="s">
        <v>436</v>
      </c>
      <c r="F22" s="42" t="s">
        <v>512</v>
      </c>
      <c r="G22" s="42" t="s">
        <v>438</v>
      </c>
      <c r="H22" s="42" t="s">
        <v>439</v>
      </c>
      <c r="I22" s="42">
        <v>5411</v>
      </c>
      <c r="J22" s="42" t="s">
        <v>440</v>
      </c>
      <c r="K22" s="42" t="s">
        <v>441</v>
      </c>
      <c r="L22" s="42" t="s">
        <v>442</v>
      </c>
      <c r="M22" s="42" t="s">
        <v>122</v>
      </c>
      <c r="N22" s="42" t="s">
        <v>122</v>
      </c>
      <c r="O22" s="42" t="s">
        <v>443</v>
      </c>
      <c r="P22" s="42" t="s">
        <v>122</v>
      </c>
      <c r="Q22" s="42" t="s">
        <v>444</v>
      </c>
      <c r="R22" s="42">
        <v>20260515</v>
      </c>
      <c r="S22" s="42" t="s">
        <v>116</v>
      </c>
      <c r="T22" s="42" t="s">
        <v>445</v>
      </c>
      <c r="U22" s="42" t="s">
        <v>120</v>
      </c>
      <c r="V22" s="42">
        <v>2003008135680</v>
      </c>
      <c r="W22" s="42">
        <v>914022218</v>
      </c>
      <c r="X22" s="42" t="s">
        <v>117</v>
      </c>
      <c r="Y22" s="42" t="s">
        <v>71</v>
      </c>
      <c r="Z22" s="42" t="s">
        <v>446</v>
      </c>
      <c r="AA22" s="42" t="s">
        <v>447</v>
      </c>
      <c r="AB22" s="42" t="s">
        <v>121</v>
      </c>
      <c r="AC22" s="42" t="s">
        <v>225</v>
      </c>
      <c r="AD22" s="42"/>
      <c r="AE22" s="42" t="s">
        <v>148</v>
      </c>
      <c r="AF22" s="42" t="s">
        <v>122</v>
      </c>
      <c r="AG22" s="42">
        <v>1128</v>
      </c>
      <c r="AH22" s="42" t="s">
        <v>448</v>
      </c>
      <c r="AI22" s="42" t="s">
        <v>679</v>
      </c>
      <c r="AJ22" s="42" t="s">
        <v>680</v>
      </c>
      <c r="AK22" s="42" t="s">
        <v>449</v>
      </c>
      <c r="AL22" s="42" t="s">
        <v>121</v>
      </c>
      <c r="AM22" s="42"/>
      <c r="AN22" s="42" t="s">
        <v>122</v>
      </c>
      <c r="AO22" s="42" t="s">
        <v>450</v>
      </c>
      <c r="AP22" s="42"/>
      <c r="AQ22" s="42" t="s">
        <v>449</v>
      </c>
      <c r="AR22" s="42" t="s">
        <v>114</v>
      </c>
      <c r="AS22" s="42" t="s">
        <v>114</v>
      </c>
      <c r="AT22" s="42">
        <v>0</v>
      </c>
      <c r="AU22" s="42">
        <v>0</v>
      </c>
      <c r="AV22" s="42"/>
      <c r="AW22" s="42"/>
      <c r="AX22" s="42" t="s">
        <v>225</v>
      </c>
      <c r="AY22" s="42" t="s">
        <v>451</v>
      </c>
      <c r="AZ22" s="42">
        <v>1</v>
      </c>
      <c r="BA22" s="89">
        <v>27051</v>
      </c>
      <c r="BB22" s="89">
        <v>20677.5</v>
      </c>
      <c r="BC22" s="89">
        <v>27051</v>
      </c>
      <c r="BD22" s="89">
        <v>20677.5</v>
      </c>
      <c r="BE22" s="89">
        <v>14201.5</v>
      </c>
      <c r="BF22" s="89">
        <v>3485</v>
      </c>
      <c r="BG22" s="89">
        <v>10716.5</v>
      </c>
      <c r="BH22" s="125">
        <v>20677.5</v>
      </c>
      <c r="BI22" s="89">
        <v>0.52498983401722676</v>
      </c>
      <c r="BJ22" s="89">
        <v>0.52126707774150649</v>
      </c>
      <c r="BK22" s="89">
        <v>10778.5</v>
      </c>
      <c r="BL22" s="89">
        <v>10778.5</v>
      </c>
      <c r="BM22" s="89">
        <v>14201.5</v>
      </c>
      <c r="BN22" s="89"/>
      <c r="BO22" s="42"/>
      <c r="BP22" s="42"/>
      <c r="BQ22" s="42">
        <v>21455.5</v>
      </c>
      <c r="BR22" s="42">
        <v>202605</v>
      </c>
      <c r="BS22" s="42">
        <v>202606</v>
      </c>
      <c r="BT22" s="89">
        <v>10778.5</v>
      </c>
      <c r="BU22" s="44">
        <v>62</v>
      </c>
      <c r="BV22" s="44">
        <v>10716.5</v>
      </c>
    </row>
    <row r="23" spans="1:74" ht="14.25" customHeight="1">
      <c r="A23" s="42">
        <v>5947811</v>
      </c>
      <c r="B23" s="42">
        <v>1</v>
      </c>
      <c r="C23" s="42">
        <v>20613703439</v>
      </c>
      <c r="D23" s="42" t="s">
        <v>119</v>
      </c>
      <c r="E23" s="42" t="s">
        <v>452</v>
      </c>
      <c r="F23" s="42" t="s">
        <v>500</v>
      </c>
      <c r="G23" s="42" t="s">
        <v>89</v>
      </c>
      <c r="H23" s="42" t="s">
        <v>439</v>
      </c>
      <c r="I23" s="42">
        <v>1520</v>
      </c>
      <c r="J23" s="42" t="s">
        <v>463</v>
      </c>
      <c r="K23" s="42" t="s">
        <v>501</v>
      </c>
      <c r="L23" s="42" t="s">
        <v>122</v>
      </c>
      <c r="M23" s="42" t="s">
        <v>122</v>
      </c>
      <c r="N23" s="42" t="s">
        <v>122</v>
      </c>
      <c r="O23" s="42"/>
      <c r="P23" s="42" t="s">
        <v>122</v>
      </c>
      <c r="Q23" s="42" t="s">
        <v>502</v>
      </c>
      <c r="R23" s="42">
        <v>20260515</v>
      </c>
      <c r="S23" s="42" t="s">
        <v>116</v>
      </c>
      <c r="T23" s="42" t="s">
        <v>445</v>
      </c>
      <c r="U23" s="42" t="s">
        <v>120</v>
      </c>
      <c r="V23" s="42">
        <v>2003007011693</v>
      </c>
      <c r="W23" s="42">
        <v>974834484</v>
      </c>
      <c r="X23" s="42" t="s">
        <v>117</v>
      </c>
      <c r="Y23" s="42" t="s">
        <v>88</v>
      </c>
      <c r="Z23" s="42" t="s">
        <v>446</v>
      </c>
      <c r="AA23" s="42" t="s">
        <v>447</v>
      </c>
      <c r="AB23" s="42" t="s">
        <v>121</v>
      </c>
      <c r="AC23" s="42" t="s">
        <v>175</v>
      </c>
      <c r="AD23" s="42"/>
      <c r="AE23" s="42" t="s">
        <v>148</v>
      </c>
      <c r="AF23" s="42"/>
      <c r="AG23" s="42">
        <v>1128</v>
      </c>
      <c r="AH23" s="42" t="s">
        <v>448</v>
      </c>
      <c r="AI23" s="42" t="s">
        <v>679</v>
      </c>
      <c r="AJ23" s="42" t="s">
        <v>680</v>
      </c>
      <c r="AK23" s="42" t="s">
        <v>449</v>
      </c>
      <c r="AL23" s="42" t="s">
        <v>121</v>
      </c>
      <c r="AM23" s="42"/>
      <c r="AN23" s="42" t="s">
        <v>122</v>
      </c>
      <c r="AO23" s="42" t="s">
        <v>467</v>
      </c>
      <c r="AP23" s="42"/>
      <c r="AQ23" s="42" t="s">
        <v>449</v>
      </c>
      <c r="AR23" s="42" t="s">
        <v>114</v>
      </c>
      <c r="AS23" s="42" t="s">
        <v>114</v>
      </c>
      <c r="AT23" s="42">
        <v>0</v>
      </c>
      <c r="AU23" s="42">
        <v>0</v>
      </c>
      <c r="AV23" s="42" t="s">
        <v>503</v>
      </c>
      <c r="AW23" s="42" t="s">
        <v>504</v>
      </c>
      <c r="AX23" s="42" t="s">
        <v>175</v>
      </c>
      <c r="AY23" s="42" t="s">
        <v>451</v>
      </c>
      <c r="AZ23" s="42">
        <v>1</v>
      </c>
      <c r="BA23" s="89">
        <v>70243</v>
      </c>
      <c r="BB23" s="89">
        <v>70243</v>
      </c>
      <c r="BC23" s="89">
        <v>70243</v>
      </c>
      <c r="BD23" s="89">
        <v>70243</v>
      </c>
      <c r="BE23" s="89">
        <v>70243</v>
      </c>
      <c r="BF23" s="89">
        <v>23738</v>
      </c>
      <c r="BG23" s="89">
        <v>46505</v>
      </c>
      <c r="BH23" s="125">
        <v>70243</v>
      </c>
      <c r="BI23" s="89">
        <v>1</v>
      </c>
      <c r="BJ23" s="89">
        <v>1</v>
      </c>
      <c r="BK23" s="89">
        <v>70243</v>
      </c>
      <c r="BL23" s="89">
        <v>70243</v>
      </c>
      <c r="BM23" s="89">
        <v>70243</v>
      </c>
      <c r="BN23" s="89" t="s">
        <v>461</v>
      </c>
      <c r="BO23" s="42" t="s">
        <v>461</v>
      </c>
      <c r="BP23" s="42"/>
      <c r="BQ23" s="42">
        <v>66628.38</v>
      </c>
      <c r="BR23" s="42">
        <v>202605</v>
      </c>
      <c r="BS23" s="42">
        <v>202606</v>
      </c>
      <c r="BT23" s="89">
        <v>70243</v>
      </c>
      <c r="BU23" s="44">
        <v>23738</v>
      </c>
      <c r="BV23" s="44">
        <v>46505</v>
      </c>
    </row>
    <row r="24" spans="1:74" ht="14.25" customHeight="1">
      <c r="A24" s="42">
        <v>5947793</v>
      </c>
      <c r="B24" s="42">
        <v>1</v>
      </c>
      <c r="C24" s="42">
        <v>20614514338</v>
      </c>
      <c r="D24" s="42" t="s">
        <v>119</v>
      </c>
      <c r="E24" s="42" t="s">
        <v>436</v>
      </c>
      <c r="F24" s="42" t="s">
        <v>437</v>
      </c>
      <c r="G24" s="42" t="s">
        <v>438</v>
      </c>
      <c r="H24" s="42" t="s">
        <v>439</v>
      </c>
      <c r="I24" s="42">
        <v>5411</v>
      </c>
      <c r="J24" s="42" t="s">
        <v>440</v>
      </c>
      <c r="K24" s="42" t="s">
        <v>441</v>
      </c>
      <c r="L24" s="42" t="s">
        <v>442</v>
      </c>
      <c r="M24" s="42" t="s">
        <v>122</v>
      </c>
      <c r="N24" s="42" t="s">
        <v>122</v>
      </c>
      <c r="O24" s="42" t="s">
        <v>443</v>
      </c>
      <c r="P24" s="42" t="s">
        <v>122</v>
      </c>
      <c r="Q24" s="42" t="s">
        <v>444</v>
      </c>
      <c r="R24" s="42">
        <v>20260515</v>
      </c>
      <c r="S24" s="42" t="s">
        <v>116</v>
      </c>
      <c r="T24" s="42" t="s">
        <v>445</v>
      </c>
      <c r="U24" s="42" t="s">
        <v>120</v>
      </c>
      <c r="V24" s="42">
        <v>2003008135680</v>
      </c>
      <c r="W24" s="42">
        <v>914022218</v>
      </c>
      <c r="X24" s="42" t="s">
        <v>117</v>
      </c>
      <c r="Y24" s="42" t="s">
        <v>75</v>
      </c>
      <c r="Z24" s="42" t="s">
        <v>446</v>
      </c>
      <c r="AA24" s="42" t="s">
        <v>447</v>
      </c>
      <c r="AB24" s="42" t="s">
        <v>121</v>
      </c>
      <c r="AC24" s="42" t="s">
        <v>225</v>
      </c>
      <c r="AD24" s="42"/>
      <c r="AE24" s="42" t="s">
        <v>148</v>
      </c>
      <c r="AF24" s="42" t="s">
        <v>122</v>
      </c>
      <c r="AG24" s="42">
        <v>1128</v>
      </c>
      <c r="AH24" s="42" t="s">
        <v>448</v>
      </c>
      <c r="AI24" s="42" t="s">
        <v>679</v>
      </c>
      <c r="AJ24" s="42" t="s">
        <v>680</v>
      </c>
      <c r="AK24" s="42" t="s">
        <v>449</v>
      </c>
      <c r="AL24" s="42" t="s">
        <v>121</v>
      </c>
      <c r="AM24" s="42"/>
      <c r="AN24" s="42" t="s">
        <v>122</v>
      </c>
      <c r="AO24" s="42" t="s">
        <v>450</v>
      </c>
      <c r="AP24" s="42"/>
      <c r="AQ24" s="42" t="s">
        <v>449</v>
      </c>
      <c r="AR24" s="42" t="s">
        <v>114</v>
      </c>
      <c r="AS24" s="42" t="s">
        <v>114</v>
      </c>
      <c r="AT24" s="42">
        <v>0</v>
      </c>
      <c r="AU24" s="42">
        <v>0</v>
      </c>
      <c r="AV24" s="42"/>
      <c r="AW24" s="42"/>
      <c r="AX24" s="42" t="s">
        <v>225</v>
      </c>
      <c r="AY24" s="42" t="s">
        <v>451</v>
      </c>
      <c r="AZ24" s="42">
        <v>1</v>
      </c>
      <c r="BA24" s="89">
        <v>27051</v>
      </c>
      <c r="BB24" s="89">
        <v>20677.5</v>
      </c>
      <c r="BC24" s="89">
        <v>27051</v>
      </c>
      <c r="BD24" s="89">
        <v>20677.5</v>
      </c>
      <c r="BE24" s="89">
        <v>12849.5</v>
      </c>
      <c r="BF24" s="89">
        <v>3126.5</v>
      </c>
      <c r="BG24" s="89">
        <v>9723</v>
      </c>
      <c r="BH24" s="125">
        <v>20677.5</v>
      </c>
      <c r="BI24" s="89">
        <v>0.47501016598277329</v>
      </c>
      <c r="BJ24" s="89">
        <v>0.47873292225849351</v>
      </c>
      <c r="BK24" s="89">
        <v>9899</v>
      </c>
      <c r="BL24" s="89">
        <v>9899</v>
      </c>
      <c r="BM24" s="89">
        <v>12849.5</v>
      </c>
      <c r="BN24" s="89"/>
      <c r="BO24" s="42"/>
      <c r="BP24" s="42"/>
      <c r="BQ24" s="42">
        <v>14455</v>
      </c>
      <c r="BR24" s="42">
        <v>202605</v>
      </c>
      <c r="BS24" s="42">
        <v>202606</v>
      </c>
      <c r="BT24" s="89">
        <v>9899</v>
      </c>
      <c r="BU24" s="44">
        <v>176</v>
      </c>
      <c r="BV24" s="44">
        <v>9723</v>
      </c>
    </row>
    <row r="25" spans="1:74" ht="14.25" customHeight="1">
      <c r="A25" s="42">
        <v>5947775</v>
      </c>
      <c r="B25" s="42">
        <v>1</v>
      </c>
      <c r="C25" s="42">
        <v>20612598780</v>
      </c>
      <c r="D25" s="42" t="s">
        <v>119</v>
      </c>
      <c r="E25" s="42" t="s">
        <v>452</v>
      </c>
      <c r="F25" s="42" t="s">
        <v>462</v>
      </c>
      <c r="G25" s="42" t="s">
        <v>78</v>
      </c>
      <c r="H25" s="42" t="s">
        <v>439</v>
      </c>
      <c r="I25" s="42">
        <v>1520</v>
      </c>
      <c r="J25" s="42" t="s">
        <v>463</v>
      </c>
      <c r="K25" s="42" t="s">
        <v>464</v>
      </c>
      <c r="L25" s="42" t="s">
        <v>465</v>
      </c>
      <c r="M25" s="42" t="s">
        <v>122</v>
      </c>
      <c r="N25" s="42" t="s">
        <v>122</v>
      </c>
      <c r="O25" s="42"/>
      <c r="P25" s="42" t="s">
        <v>122</v>
      </c>
      <c r="Q25" s="42" t="s">
        <v>466</v>
      </c>
      <c r="R25" s="42">
        <v>20260515</v>
      </c>
      <c r="S25" s="42" t="s">
        <v>116</v>
      </c>
      <c r="T25" s="42" t="s">
        <v>445</v>
      </c>
      <c r="U25" s="42" t="s">
        <v>120</v>
      </c>
      <c r="V25" s="42">
        <v>2003006195537</v>
      </c>
      <c r="W25" s="42">
        <v>974834484</v>
      </c>
      <c r="X25" s="42" t="s">
        <v>117</v>
      </c>
      <c r="Y25" s="42" t="s">
        <v>82</v>
      </c>
      <c r="Z25" s="42" t="s">
        <v>446</v>
      </c>
      <c r="AA25" s="42" t="s">
        <v>447</v>
      </c>
      <c r="AB25" s="42" t="s">
        <v>121</v>
      </c>
      <c r="AC25" s="42" t="s">
        <v>175</v>
      </c>
      <c r="AD25" s="42"/>
      <c r="AE25" s="42" t="s">
        <v>148</v>
      </c>
      <c r="AF25" s="42"/>
      <c r="AG25" s="42">
        <v>1128</v>
      </c>
      <c r="AH25" s="42" t="s">
        <v>448</v>
      </c>
      <c r="AI25" s="42" t="s">
        <v>679</v>
      </c>
      <c r="AJ25" s="42" t="s">
        <v>680</v>
      </c>
      <c r="AK25" s="42" t="s">
        <v>449</v>
      </c>
      <c r="AL25" s="42" t="s">
        <v>121</v>
      </c>
      <c r="AM25" s="42"/>
      <c r="AN25" s="42" t="s">
        <v>122</v>
      </c>
      <c r="AO25" s="42" t="s">
        <v>467</v>
      </c>
      <c r="AP25" s="42"/>
      <c r="AQ25" s="42" t="s">
        <v>449</v>
      </c>
      <c r="AR25" s="42" t="s">
        <v>114</v>
      </c>
      <c r="AS25" s="42" t="s">
        <v>114</v>
      </c>
      <c r="AT25" s="42">
        <v>0</v>
      </c>
      <c r="AU25" s="42">
        <v>0</v>
      </c>
      <c r="AV25" s="42" t="s">
        <v>468</v>
      </c>
      <c r="AW25" s="42" t="s">
        <v>469</v>
      </c>
      <c r="AX25" s="42" t="s">
        <v>175</v>
      </c>
      <c r="AY25" s="42" t="s">
        <v>451</v>
      </c>
      <c r="AZ25" s="42">
        <v>1</v>
      </c>
      <c r="BA25" s="89">
        <v>21944.9</v>
      </c>
      <c r="BB25" s="89">
        <v>21944.9</v>
      </c>
      <c r="BC25" s="89">
        <v>21944.9</v>
      </c>
      <c r="BD25" s="89">
        <v>21944.9</v>
      </c>
      <c r="BE25" s="89">
        <v>2844.9</v>
      </c>
      <c r="BF25" s="89">
        <v>753.99999999999989</v>
      </c>
      <c r="BG25" s="89">
        <v>2090.9</v>
      </c>
      <c r="BH25" s="125">
        <v>21944.9</v>
      </c>
      <c r="BI25" s="89">
        <v>0.1296383214323146</v>
      </c>
      <c r="BJ25" s="89">
        <v>0.1296383214323146</v>
      </c>
      <c r="BK25" s="89">
        <v>2844.9</v>
      </c>
      <c r="BL25" s="89">
        <v>2844.9</v>
      </c>
      <c r="BM25" s="89">
        <v>2844.9</v>
      </c>
      <c r="BN25" s="89" t="s">
        <v>461</v>
      </c>
      <c r="BO25" s="42" t="s">
        <v>461</v>
      </c>
      <c r="BP25" s="42"/>
      <c r="BQ25" s="42">
        <v>2931</v>
      </c>
      <c r="BR25" s="42">
        <v>202605</v>
      </c>
      <c r="BS25" s="42">
        <v>202606</v>
      </c>
      <c r="BT25" s="89">
        <v>2844.9</v>
      </c>
      <c r="BU25" s="44">
        <v>754</v>
      </c>
      <c r="BV25" s="44">
        <v>2090.9</v>
      </c>
    </row>
    <row r="26" spans="1:74" ht="14.25" customHeight="1">
      <c r="A26" s="42">
        <v>5947833</v>
      </c>
      <c r="B26" s="42">
        <v>1</v>
      </c>
      <c r="C26" s="42">
        <v>20612913359</v>
      </c>
      <c r="D26" s="42" t="s">
        <v>119</v>
      </c>
      <c r="E26" s="42" t="s">
        <v>452</v>
      </c>
      <c r="F26" s="42" t="s">
        <v>513</v>
      </c>
      <c r="G26" s="42" t="s">
        <v>92</v>
      </c>
      <c r="H26" s="42" t="s">
        <v>439</v>
      </c>
      <c r="I26" s="42">
        <v>1520</v>
      </c>
      <c r="J26" s="42" t="s">
        <v>463</v>
      </c>
      <c r="K26" s="42" t="s">
        <v>514</v>
      </c>
      <c r="L26" s="42" t="s">
        <v>515</v>
      </c>
      <c r="M26" s="42" t="s">
        <v>122</v>
      </c>
      <c r="N26" s="42" t="s">
        <v>122</v>
      </c>
      <c r="O26" s="42"/>
      <c r="P26" s="42" t="s">
        <v>122</v>
      </c>
      <c r="Q26" s="42" t="s">
        <v>516</v>
      </c>
      <c r="R26" s="42">
        <v>20260515</v>
      </c>
      <c r="S26" s="42" t="s">
        <v>116</v>
      </c>
      <c r="T26" s="42" t="s">
        <v>445</v>
      </c>
      <c r="U26" s="42" t="s">
        <v>120</v>
      </c>
      <c r="V26" s="42">
        <v>2003006692557</v>
      </c>
      <c r="W26" s="42">
        <v>974834484</v>
      </c>
      <c r="X26" s="42" t="s">
        <v>117</v>
      </c>
      <c r="Y26" s="42" t="s">
        <v>91</v>
      </c>
      <c r="Z26" s="42" t="s">
        <v>446</v>
      </c>
      <c r="AA26" s="42" t="s">
        <v>447</v>
      </c>
      <c r="AB26" s="42" t="s">
        <v>121</v>
      </c>
      <c r="AC26" s="42" t="s">
        <v>175</v>
      </c>
      <c r="AD26" s="42"/>
      <c r="AE26" s="42" t="s">
        <v>148</v>
      </c>
      <c r="AF26" s="42"/>
      <c r="AG26" s="42">
        <v>1128</v>
      </c>
      <c r="AH26" s="42" t="s">
        <v>448</v>
      </c>
      <c r="AI26" s="42" t="s">
        <v>679</v>
      </c>
      <c r="AJ26" s="42" t="s">
        <v>680</v>
      </c>
      <c r="AK26" s="42" t="s">
        <v>449</v>
      </c>
      <c r="AL26" s="42" t="s">
        <v>121</v>
      </c>
      <c r="AM26" s="42"/>
      <c r="AN26" s="42" t="s">
        <v>122</v>
      </c>
      <c r="AO26" s="42" t="s">
        <v>467</v>
      </c>
      <c r="AP26" s="42"/>
      <c r="AQ26" s="42" t="s">
        <v>449</v>
      </c>
      <c r="AR26" s="42" t="s">
        <v>114</v>
      </c>
      <c r="AS26" s="42" t="s">
        <v>114</v>
      </c>
      <c r="AT26" s="42">
        <v>0</v>
      </c>
      <c r="AU26" s="42">
        <v>0</v>
      </c>
      <c r="AV26" s="42" t="s">
        <v>517</v>
      </c>
      <c r="AW26" s="42" t="s">
        <v>518</v>
      </c>
      <c r="AX26" s="42" t="s">
        <v>175</v>
      </c>
      <c r="AY26" s="42" t="s">
        <v>451</v>
      </c>
      <c r="AZ26" s="42">
        <v>1</v>
      </c>
      <c r="BA26" s="89">
        <v>72341.8</v>
      </c>
      <c r="BB26" s="89">
        <v>72341.8</v>
      </c>
      <c r="BC26" s="89">
        <v>72341.8</v>
      </c>
      <c r="BD26" s="89">
        <v>72341.8</v>
      </c>
      <c r="BE26" s="89">
        <v>47624</v>
      </c>
      <c r="BF26" s="89">
        <v>25769</v>
      </c>
      <c r="BG26" s="89">
        <v>21855</v>
      </c>
      <c r="BH26" s="125">
        <v>72341.8</v>
      </c>
      <c r="BI26" s="89">
        <v>0.65831925664000612</v>
      </c>
      <c r="BJ26" s="89">
        <v>0.65831925664000612</v>
      </c>
      <c r="BK26" s="89">
        <v>47624</v>
      </c>
      <c r="BL26" s="89">
        <v>47624</v>
      </c>
      <c r="BM26" s="89">
        <v>47624</v>
      </c>
      <c r="BN26" s="89" t="s">
        <v>461</v>
      </c>
      <c r="BO26" s="42" t="s">
        <v>461</v>
      </c>
      <c r="BP26" s="42"/>
      <c r="BQ26" s="42">
        <v>40828</v>
      </c>
      <c r="BR26" s="42">
        <v>202605</v>
      </c>
      <c r="BS26" s="42">
        <v>202606</v>
      </c>
      <c r="BT26" s="89">
        <v>47624</v>
      </c>
      <c r="BU26" s="44">
        <v>25769</v>
      </c>
      <c r="BV26" s="44">
        <v>21855</v>
      </c>
    </row>
    <row r="27" spans="1:74" ht="14.25" customHeight="1">
      <c r="A27" s="42">
        <v>5948363</v>
      </c>
      <c r="B27" s="42">
        <v>1</v>
      </c>
      <c r="C27" s="42">
        <v>20539185901</v>
      </c>
      <c r="D27" s="42" t="s">
        <v>119</v>
      </c>
      <c r="E27" s="42" t="s">
        <v>436</v>
      </c>
      <c r="F27" s="42" t="s">
        <v>540</v>
      </c>
      <c r="G27" s="42" t="s">
        <v>95</v>
      </c>
      <c r="H27" s="42" t="s">
        <v>439</v>
      </c>
      <c r="I27" s="42">
        <v>5812</v>
      </c>
      <c r="J27" s="42" t="s">
        <v>124</v>
      </c>
      <c r="K27" s="42" t="s">
        <v>541</v>
      </c>
      <c r="L27" s="42" t="s">
        <v>240</v>
      </c>
      <c r="M27" s="42" t="s">
        <v>240</v>
      </c>
      <c r="N27" s="42" t="s">
        <v>542</v>
      </c>
      <c r="O27" s="42"/>
      <c r="P27" s="42" t="s">
        <v>457</v>
      </c>
      <c r="Q27" s="42" t="s">
        <v>543</v>
      </c>
      <c r="R27" s="42">
        <v>20260518</v>
      </c>
      <c r="S27" s="42" t="s">
        <v>116</v>
      </c>
      <c r="T27" s="42" t="s">
        <v>445</v>
      </c>
      <c r="U27" s="42" t="s">
        <v>499</v>
      </c>
      <c r="V27" s="42">
        <v>3052157657021</v>
      </c>
      <c r="W27" s="42">
        <v>979245098</v>
      </c>
      <c r="X27" s="42" t="s">
        <v>117</v>
      </c>
      <c r="Y27" s="42" t="s">
        <v>94</v>
      </c>
      <c r="Z27" s="42" t="s">
        <v>446</v>
      </c>
      <c r="AA27" s="42" t="s">
        <v>447</v>
      </c>
      <c r="AB27" s="42" t="s">
        <v>121</v>
      </c>
      <c r="AC27" s="42" t="s">
        <v>244</v>
      </c>
      <c r="AD27" s="42"/>
      <c r="AE27" s="42" t="s">
        <v>148</v>
      </c>
      <c r="AF27" s="42"/>
      <c r="AG27" s="42">
        <v>1128</v>
      </c>
      <c r="AH27" s="42" t="s">
        <v>448</v>
      </c>
      <c r="AI27" s="42" t="s">
        <v>679</v>
      </c>
      <c r="AJ27" s="42" t="s">
        <v>680</v>
      </c>
      <c r="AK27" s="42" t="s">
        <v>449</v>
      </c>
      <c r="AL27" s="42" t="s">
        <v>121</v>
      </c>
      <c r="AM27" s="42"/>
      <c r="AN27" s="42" t="s">
        <v>122</v>
      </c>
      <c r="AO27" s="42" t="s">
        <v>544</v>
      </c>
      <c r="AP27" s="42"/>
      <c r="AQ27" s="42" t="s">
        <v>449</v>
      </c>
      <c r="AR27" s="42" t="s">
        <v>114</v>
      </c>
      <c r="AS27" s="42" t="s">
        <v>114</v>
      </c>
      <c r="AT27" s="42">
        <v>0</v>
      </c>
      <c r="AU27" s="42">
        <v>0</v>
      </c>
      <c r="AV27" s="42" t="s">
        <v>545</v>
      </c>
      <c r="AW27" s="42" t="s">
        <v>546</v>
      </c>
      <c r="AX27" s="42" t="s">
        <v>244</v>
      </c>
      <c r="AY27" s="42" t="s">
        <v>451</v>
      </c>
      <c r="AZ27" s="42">
        <v>1</v>
      </c>
      <c r="BA27" s="89">
        <v>250</v>
      </c>
      <c r="BB27" s="89">
        <v>250</v>
      </c>
      <c r="BC27" s="89">
        <v>250</v>
      </c>
      <c r="BD27" s="89">
        <v>250</v>
      </c>
      <c r="BE27" s="89">
        <v>250</v>
      </c>
      <c r="BF27" s="89">
        <v>0</v>
      </c>
      <c r="BG27" s="89">
        <v>250</v>
      </c>
      <c r="BH27" s="125">
        <v>250</v>
      </c>
      <c r="BI27" s="89">
        <v>1</v>
      </c>
      <c r="BJ27" s="89">
        <v>1</v>
      </c>
      <c r="BK27" s="89">
        <v>250</v>
      </c>
      <c r="BL27" s="89">
        <v>250</v>
      </c>
      <c r="BM27" s="89">
        <v>250</v>
      </c>
      <c r="BN27" s="89" t="s">
        <v>461</v>
      </c>
      <c r="BO27" s="42" t="s">
        <v>461</v>
      </c>
      <c r="BP27" s="42"/>
      <c r="BQ27" s="42">
        <v>12267.08</v>
      </c>
      <c r="BR27" s="42">
        <v>202605</v>
      </c>
      <c r="BS27" s="42">
        <v>202606</v>
      </c>
      <c r="BT27" s="89">
        <v>250</v>
      </c>
      <c r="BU27" s="44">
        <v>0</v>
      </c>
      <c r="BV27" s="44">
        <v>250</v>
      </c>
    </row>
    <row r="28" spans="1:74" ht="14.25" customHeight="1">
      <c r="A28" s="42">
        <v>5948727</v>
      </c>
      <c r="B28" s="42">
        <v>1</v>
      </c>
      <c r="C28" s="42">
        <v>20611563435</v>
      </c>
      <c r="D28" s="42" t="s">
        <v>119</v>
      </c>
      <c r="E28" s="42" t="s">
        <v>436</v>
      </c>
      <c r="F28" s="42" t="s">
        <v>534</v>
      </c>
      <c r="G28" s="42" t="s">
        <v>535</v>
      </c>
      <c r="H28" s="42" t="s">
        <v>439</v>
      </c>
      <c r="I28" s="42">
        <v>5199</v>
      </c>
      <c r="J28" s="42" t="s">
        <v>536</v>
      </c>
      <c r="K28" s="42" t="s">
        <v>537</v>
      </c>
      <c r="L28" s="42" t="s">
        <v>489</v>
      </c>
      <c r="M28" s="42" t="s">
        <v>489</v>
      </c>
      <c r="N28" s="42" t="s">
        <v>489</v>
      </c>
      <c r="O28" s="42"/>
      <c r="P28" s="42" t="s">
        <v>122</v>
      </c>
      <c r="Q28" s="42" t="s">
        <v>458</v>
      </c>
      <c r="R28" s="42">
        <v>20260519</v>
      </c>
      <c r="S28" s="42" t="s">
        <v>116</v>
      </c>
      <c r="T28" s="42" t="s">
        <v>445</v>
      </c>
      <c r="U28" s="42" t="s">
        <v>499</v>
      </c>
      <c r="V28" s="42">
        <v>1949961009050</v>
      </c>
      <c r="W28" s="42">
        <v>989306027</v>
      </c>
      <c r="X28" s="42" t="s">
        <v>117</v>
      </c>
      <c r="Y28" s="42" t="s">
        <v>100</v>
      </c>
      <c r="Z28" s="42" t="s">
        <v>446</v>
      </c>
      <c r="AA28" s="42" t="s">
        <v>447</v>
      </c>
      <c r="AB28" s="42" t="s">
        <v>121</v>
      </c>
      <c r="AC28" s="42" t="s">
        <v>166</v>
      </c>
      <c r="AD28" s="42"/>
      <c r="AE28" s="42" t="s">
        <v>148</v>
      </c>
      <c r="AF28" s="42"/>
      <c r="AG28" s="42">
        <v>1758</v>
      </c>
      <c r="AH28" s="42" t="s">
        <v>538</v>
      </c>
      <c r="AI28" s="42" t="s">
        <v>679</v>
      </c>
      <c r="AJ28" s="42" t="s">
        <v>680</v>
      </c>
      <c r="AK28" s="42" t="s">
        <v>449</v>
      </c>
      <c r="AL28" s="42" t="s">
        <v>121</v>
      </c>
      <c r="AM28" s="42"/>
      <c r="AN28" s="42" t="s">
        <v>122</v>
      </c>
      <c r="AO28" s="42" t="s">
        <v>539</v>
      </c>
      <c r="AP28" s="42"/>
      <c r="AQ28" s="42" t="s">
        <v>449</v>
      </c>
      <c r="AR28" s="42" t="s">
        <v>114</v>
      </c>
      <c r="AS28" s="42" t="s">
        <v>114</v>
      </c>
      <c r="AT28" s="42">
        <v>0</v>
      </c>
      <c r="AU28" s="42">
        <v>0</v>
      </c>
      <c r="AV28" s="42"/>
      <c r="AW28" s="42"/>
      <c r="AX28" s="42" t="s">
        <v>166</v>
      </c>
      <c r="AY28" s="42" t="s">
        <v>451</v>
      </c>
      <c r="AZ28" s="42">
        <v>1</v>
      </c>
      <c r="BA28" s="89">
        <v>0</v>
      </c>
      <c r="BB28" s="89">
        <v>0</v>
      </c>
      <c r="BC28" s="89">
        <v>0</v>
      </c>
      <c r="BD28" s="89">
        <v>0</v>
      </c>
      <c r="BE28" s="89">
        <v>0</v>
      </c>
      <c r="BF28" s="89">
        <v>0</v>
      </c>
      <c r="BG28" s="89">
        <v>0</v>
      </c>
      <c r="BH28" s="125">
        <v>0</v>
      </c>
      <c r="BI28" s="89">
        <v>0</v>
      </c>
      <c r="BJ28" s="89">
        <v>0</v>
      </c>
      <c r="BK28" s="89">
        <v>0</v>
      </c>
      <c r="BL28" s="89">
        <v>0</v>
      </c>
      <c r="BM28" s="89">
        <v>0</v>
      </c>
      <c r="BN28" s="89"/>
      <c r="BO28" s="42"/>
      <c r="BP28" s="42"/>
      <c r="BQ28" s="42">
        <v>1.1000000000000001</v>
      </c>
      <c r="BR28" s="42">
        <v>202605</v>
      </c>
      <c r="BS28" s="42"/>
      <c r="BT28" s="89" t="s">
        <v>451</v>
      </c>
      <c r="BU28" s="44" t="s">
        <v>451</v>
      </c>
      <c r="BV28" s="44" t="s">
        <v>451</v>
      </c>
    </row>
    <row r="29" spans="1:74" ht="14.25" customHeight="1">
      <c r="A29" s="42">
        <v>5948633</v>
      </c>
      <c r="B29" s="42">
        <v>1</v>
      </c>
      <c r="C29" s="42">
        <v>20612913359</v>
      </c>
      <c r="D29" s="42" t="s">
        <v>119</v>
      </c>
      <c r="E29" s="42" t="s">
        <v>452</v>
      </c>
      <c r="F29" s="42" t="s">
        <v>531</v>
      </c>
      <c r="G29" s="42" t="s">
        <v>92</v>
      </c>
      <c r="H29" s="42" t="s">
        <v>439</v>
      </c>
      <c r="I29" s="42">
        <v>1520</v>
      </c>
      <c r="J29" s="42" t="s">
        <v>463</v>
      </c>
      <c r="K29" s="42" t="s">
        <v>532</v>
      </c>
      <c r="L29" s="42" t="s">
        <v>515</v>
      </c>
      <c r="M29" s="42" t="s">
        <v>122</v>
      </c>
      <c r="N29" s="42" t="s">
        <v>122</v>
      </c>
      <c r="O29" s="42"/>
      <c r="P29" s="42" t="s">
        <v>122</v>
      </c>
      <c r="Q29" s="42" t="s">
        <v>533</v>
      </c>
      <c r="R29" s="42">
        <v>20260519</v>
      </c>
      <c r="S29" s="42" t="s">
        <v>116</v>
      </c>
      <c r="T29" s="42" t="s">
        <v>445</v>
      </c>
      <c r="U29" s="42" t="s">
        <v>120</v>
      </c>
      <c r="V29" s="42">
        <v>2003007789589</v>
      </c>
      <c r="W29" s="42">
        <v>974834484</v>
      </c>
      <c r="X29" s="42" t="s">
        <v>117</v>
      </c>
      <c r="Y29" s="42" t="s">
        <v>105</v>
      </c>
      <c r="Z29" s="42" t="s">
        <v>446</v>
      </c>
      <c r="AA29" s="42" t="s">
        <v>447</v>
      </c>
      <c r="AB29" s="42" t="s">
        <v>121</v>
      </c>
      <c r="AC29" s="42" t="s">
        <v>175</v>
      </c>
      <c r="AD29" s="42"/>
      <c r="AE29" s="42" t="s">
        <v>148</v>
      </c>
      <c r="AF29" s="42"/>
      <c r="AG29" s="42">
        <v>1128</v>
      </c>
      <c r="AH29" s="42" t="s">
        <v>448</v>
      </c>
      <c r="AI29" s="42" t="s">
        <v>679</v>
      </c>
      <c r="AJ29" s="42" t="s">
        <v>680</v>
      </c>
      <c r="AK29" s="42" t="s">
        <v>449</v>
      </c>
      <c r="AL29" s="42" t="s">
        <v>121</v>
      </c>
      <c r="AM29" s="42"/>
      <c r="AN29" s="42" t="s">
        <v>122</v>
      </c>
      <c r="AO29" s="42" t="s">
        <v>467</v>
      </c>
      <c r="AP29" s="42"/>
      <c r="AQ29" s="42" t="s">
        <v>449</v>
      </c>
      <c r="AR29" s="42" t="s">
        <v>114</v>
      </c>
      <c r="AS29" s="42" t="s">
        <v>114</v>
      </c>
      <c r="AT29" s="42">
        <v>0</v>
      </c>
      <c r="AU29" s="42">
        <v>0</v>
      </c>
      <c r="AV29" s="42" t="s">
        <v>517</v>
      </c>
      <c r="AW29" s="42" t="s">
        <v>518</v>
      </c>
      <c r="AX29" s="42" t="s">
        <v>175</v>
      </c>
      <c r="AY29" s="42" t="s">
        <v>451</v>
      </c>
      <c r="AZ29" s="42">
        <v>1</v>
      </c>
      <c r="BA29" s="89">
        <v>72341.8</v>
      </c>
      <c r="BB29" s="89">
        <v>72341.8</v>
      </c>
      <c r="BC29" s="89">
        <v>72341.8</v>
      </c>
      <c r="BD29" s="89">
        <v>72341.8</v>
      </c>
      <c r="BE29" s="89">
        <v>24717.8</v>
      </c>
      <c r="BF29" s="89">
        <v>16446.8</v>
      </c>
      <c r="BG29" s="89">
        <v>8271</v>
      </c>
      <c r="BH29" s="125">
        <v>72341.8</v>
      </c>
      <c r="BI29" s="89">
        <v>0.34168074335999382</v>
      </c>
      <c r="BJ29" s="89">
        <v>0.34168074335999382</v>
      </c>
      <c r="BK29" s="89">
        <v>24717.8</v>
      </c>
      <c r="BL29" s="89">
        <v>24717.8</v>
      </c>
      <c r="BM29" s="89">
        <v>24717.8</v>
      </c>
      <c r="BN29" s="89" t="s">
        <v>461</v>
      </c>
      <c r="BO29" s="42" t="s">
        <v>461</v>
      </c>
      <c r="BP29" s="42"/>
      <c r="BQ29" s="42">
        <v>17443.2</v>
      </c>
      <c r="BR29" s="42">
        <v>202605</v>
      </c>
      <c r="BS29" s="42">
        <v>202606</v>
      </c>
      <c r="BT29" s="89">
        <v>24717.8</v>
      </c>
      <c r="BU29" s="44">
        <v>16446.8</v>
      </c>
      <c r="BV29" s="44">
        <v>8271</v>
      </c>
    </row>
    <row r="30" spans="1:74" ht="14.25" customHeight="1">
      <c r="A30" s="42">
        <v>5949069</v>
      </c>
      <c r="B30" s="42">
        <v>1</v>
      </c>
      <c r="C30" s="42">
        <v>20611402555</v>
      </c>
      <c r="D30" s="42" t="s">
        <v>119</v>
      </c>
      <c r="E30" s="42" t="s">
        <v>436</v>
      </c>
      <c r="F30" s="42" t="s">
        <v>599</v>
      </c>
      <c r="G30" s="42" t="s">
        <v>600</v>
      </c>
      <c r="H30" s="42" t="s">
        <v>439</v>
      </c>
      <c r="I30" s="42">
        <v>7230</v>
      </c>
      <c r="J30" s="42" t="s">
        <v>588</v>
      </c>
      <c r="K30" s="42" t="s">
        <v>601</v>
      </c>
      <c r="L30" s="42" t="s">
        <v>602</v>
      </c>
      <c r="M30" s="42" t="s">
        <v>240</v>
      </c>
      <c r="N30" s="42" t="s">
        <v>542</v>
      </c>
      <c r="O30" s="42" t="s">
        <v>240</v>
      </c>
      <c r="P30" s="42" t="s">
        <v>457</v>
      </c>
      <c r="Q30" s="42" t="s">
        <v>603</v>
      </c>
      <c r="R30" s="42">
        <v>20260520</v>
      </c>
      <c r="S30" s="42" t="s">
        <v>116</v>
      </c>
      <c r="T30" s="42" t="s">
        <v>445</v>
      </c>
      <c r="U30" s="42" t="s">
        <v>120</v>
      </c>
      <c r="V30" s="42">
        <v>7003008382209</v>
      </c>
      <c r="W30" s="42">
        <v>967132612</v>
      </c>
      <c r="X30" s="42" t="s">
        <v>117</v>
      </c>
      <c r="Y30" s="42" t="s">
        <v>107</v>
      </c>
      <c r="Z30" s="42" t="s">
        <v>446</v>
      </c>
      <c r="AA30" s="42" t="s">
        <v>447</v>
      </c>
      <c r="AB30" s="42" t="s">
        <v>121</v>
      </c>
      <c r="AC30" s="42" t="s">
        <v>256</v>
      </c>
      <c r="AD30" s="42"/>
      <c r="AE30" s="42" t="s">
        <v>148</v>
      </c>
      <c r="AF30" s="42" t="s">
        <v>240</v>
      </c>
      <c r="AG30" s="42">
        <v>1128</v>
      </c>
      <c r="AH30" s="42" t="s">
        <v>448</v>
      </c>
      <c r="AI30" s="42" t="s">
        <v>679</v>
      </c>
      <c r="AJ30" s="42" t="s">
        <v>184</v>
      </c>
      <c r="AK30" s="42" t="s">
        <v>449</v>
      </c>
      <c r="AL30" s="42" t="s">
        <v>121</v>
      </c>
      <c r="AM30" s="42"/>
      <c r="AN30" s="42" t="s">
        <v>122</v>
      </c>
      <c r="AO30" s="42" t="s">
        <v>604</v>
      </c>
      <c r="AP30" s="42"/>
      <c r="AQ30" s="42" t="s">
        <v>449</v>
      </c>
      <c r="AR30" s="42" t="s">
        <v>114</v>
      </c>
      <c r="AS30" s="42" t="s">
        <v>114</v>
      </c>
      <c r="AT30" s="42">
        <v>0</v>
      </c>
      <c r="AU30" s="42">
        <v>0</v>
      </c>
      <c r="AV30" s="42"/>
      <c r="AW30" s="42"/>
      <c r="AX30" s="42" t="s">
        <v>256</v>
      </c>
      <c r="AY30" s="42" t="s">
        <v>451</v>
      </c>
      <c r="AZ30" s="42">
        <v>1</v>
      </c>
      <c r="BA30" s="89">
        <v>4585</v>
      </c>
      <c r="BB30" s="89">
        <v>265</v>
      </c>
      <c r="BC30" s="89">
        <v>4585</v>
      </c>
      <c r="BD30" s="89">
        <v>265</v>
      </c>
      <c r="BE30" s="89">
        <v>4585</v>
      </c>
      <c r="BF30" s="89">
        <v>4470</v>
      </c>
      <c r="BG30" s="89">
        <v>115</v>
      </c>
      <c r="BH30" s="125">
        <v>265</v>
      </c>
      <c r="BI30" s="89">
        <v>1</v>
      </c>
      <c r="BJ30" s="89">
        <v>1</v>
      </c>
      <c r="BK30" s="89">
        <v>265</v>
      </c>
      <c r="BL30" s="89">
        <v>265</v>
      </c>
      <c r="BM30" s="89">
        <v>4585</v>
      </c>
      <c r="BN30" s="89"/>
      <c r="BO30" s="42"/>
      <c r="BP30" s="42"/>
      <c r="BQ30" s="42">
        <v>151</v>
      </c>
      <c r="BR30" s="42">
        <v>202605</v>
      </c>
      <c r="BS30" s="42">
        <v>202606</v>
      </c>
      <c r="BT30" s="89">
        <v>265</v>
      </c>
      <c r="BU30" s="44">
        <v>150</v>
      </c>
      <c r="BV30" s="44">
        <v>115</v>
      </c>
    </row>
    <row r="31" spans="1:74" ht="14.25" customHeight="1">
      <c r="A31" s="42">
        <v>5949498</v>
      </c>
      <c r="B31" s="42">
        <v>1</v>
      </c>
      <c r="C31" s="42">
        <v>10164731435</v>
      </c>
      <c r="D31" s="42" t="s">
        <v>119</v>
      </c>
      <c r="E31" s="42" t="s">
        <v>436</v>
      </c>
      <c r="F31" s="42" t="s">
        <v>593</v>
      </c>
      <c r="G31" s="42" t="s">
        <v>594</v>
      </c>
      <c r="H31" s="42" t="s">
        <v>439</v>
      </c>
      <c r="I31" s="42">
        <v>5661</v>
      </c>
      <c r="J31" s="42" t="s">
        <v>595</v>
      </c>
      <c r="K31" s="42" t="s">
        <v>596</v>
      </c>
      <c r="L31" s="42" t="s">
        <v>507</v>
      </c>
      <c r="M31" s="42" t="s">
        <v>122</v>
      </c>
      <c r="N31" s="42" t="s">
        <v>122</v>
      </c>
      <c r="O31" s="42"/>
      <c r="P31" s="42" t="s">
        <v>122</v>
      </c>
      <c r="Q31" s="42" t="s">
        <v>597</v>
      </c>
      <c r="R31" s="42">
        <v>20260521</v>
      </c>
      <c r="S31" s="42" t="s">
        <v>116</v>
      </c>
      <c r="T31" s="42" t="s">
        <v>474</v>
      </c>
      <c r="U31" s="42" t="s">
        <v>499</v>
      </c>
      <c r="V31" s="42">
        <v>19416846799066</v>
      </c>
      <c r="W31" s="42">
        <v>977867363</v>
      </c>
      <c r="X31" s="42" t="s">
        <v>117</v>
      </c>
      <c r="Y31" s="42" t="s">
        <v>549</v>
      </c>
      <c r="Z31" s="42" t="s">
        <v>476</v>
      </c>
      <c r="AA31" s="42" t="s">
        <v>447</v>
      </c>
      <c r="AB31" s="42" t="s">
        <v>121</v>
      </c>
      <c r="AC31" s="42" t="s">
        <v>268</v>
      </c>
      <c r="AD31" s="42"/>
      <c r="AE31" s="42" t="s">
        <v>148</v>
      </c>
      <c r="AF31" s="42"/>
      <c r="AG31" s="42">
        <v>1128</v>
      </c>
      <c r="AH31" s="42" t="s">
        <v>448</v>
      </c>
      <c r="AI31" s="42" t="s">
        <v>679</v>
      </c>
      <c r="AJ31" s="42" t="s">
        <v>184</v>
      </c>
      <c r="AK31" s="42" t="s">
        <v>449</v>
      </c>
      <c r="AL31" s="42" t="s">
        <v>121</v>
      </c>
      <c r="AM31" s="42"/>
      <c r="AN31" s="42" t="s">
        <v>122</v>
      </c>
      <c r="AO31" s="42" t="s">
        <v>598</v>
      </c>
      <c r="AP31" s="42"/>
      <c r="AQ31" s="42" t="s">
        <v>449</v>
      </c>
      <c r="AR31" s="42" t="s">
        <v>114</v>
      </c>
      <c r="AS31" s="42" t="s">
        <v>114</v>
      </c>
      <c r="AT31" s="42">
        <v>0</v>
      </c>
      <c r="AU31" s="42">
        <v>0</v>
      </c>
      <c r="AV31" s="42"/>
      <c r="AW31" s="42"/>
      <c r="AX31" s="42" t="s">
        <v>268</v>
      </c>
      <c r="AY31" s="42" t="s">
        <v>451</v>
      </c>
      <c r="AZ31" s="42">
        <v>1</v>
      </c>
      <c r="BA31" s="89">
        <v>800</v>
      </c>
      <c r="BB31" s="89">
        <v>800</v>
      </c>
      <c r="BC31" s="89">
        <v>800</v>
      </c>
      <c r="BD31" s="89">
        <v>800</v>
      </c>
      <c r="BE31" s="89">
        <v>800</v>
      </c>
      <c r="BF31" s="89">
        <v>0</v>
      </c>
      <c r="BG31" s="89">
        <v>800</v>
      </c>
      <c r="BH31" s="125">
        <v>800</v>
      </c>
      <c r="BI31" s="89">
        <v>1</v>
      </c>
      <c r="BJ31" s="89">
        <v>1</v>
      </c>
      <c r="BK31" s="89">
        <v>800</v>
      </c>
      <c r="BL31" s="89">
        <v>800</v>
      </c>
      <c r="BM31" s="89">
        <v>800</v>
      </c>
      <c r="BN31" s="89"/>
      <c r="BO31" s="42"/>
      <c r="BP31" s="42"/>
      <c r="BQ31" s="42">
        <v>7885</v>
      </c>
      <c r="BR31" s="42">
        <v>202605</v>
      </c>
      <c r="BS31" s="42">
        <v>202606</v>
      </c>
      <c r="BT31" s="89">
        <v>800</v>
      </c>
      <c r="BU31" s="44">
        <v>0</v>
      </c>
      <c r="BV31" s="44">
        <v>800</v>
      </c>
    </row>
    <row r="32" spans="1:74" ht="14.25" customHeight="1">
      <c r="A32" s="42">
        <v>5949568</v>
      </c>
      <c r="B32" s="42">
        <v>1</v>
      </c>
      <c r="C32" s="42">
        <v>10718173561</v>
      </c>
      <c r="D32" s="42" t="s">
        <v>119</v>
      </c>
      <c r="E32" s="42" t="s">
        <v>436</v>
      </c>
      <c r="F32" s="42" t="s">
        <v>586</v>
      </c>
      <c r="G32" s="42" t="s">
        <v>587</v>
      </c>
      <c r="H32" s="42" t="s">
        <v>439</v>
      </c>
      <c r="I32" s="42">
        <v>7230</v>
      </c>
      <c r="J32" s="42" t="s">
        <v>588</v>
      </c>
      <c r="K32" s="42" t="s">
        <v>589</v>
      </c>
      <c r="L32" s="42" t="s">
        <v>590</v>
      </c>
      <c r="M32" s="42" t="s">
        <v>240</v>
      </c>
      <c r="N32" s="42" t="s">
        <v>542</v>
      </c>
      <c r="O32" s="42" t="s">
        <v>240</v>
      </c>
      <c r="P32" s="42" t="s">
        <v>457</v>
      </c>
      <c r="Q32" s="42" t="s">
        <v>591</v>
      </c>
      <c r="R32" s="42">
        <v>20260521</v>
      </c>
      <c r="S32" s="42" t="s">
        <v>116</v>
      </c>
      <c r="T32" s="42" t="s">
        <v>474</v>
      </c>
      <c r="U32" s="42" t="s">
        <v>120</v>
      </c>
      <c r="V32" s="42">
        <v>8983509891526</v>
      </c>
      <c r="W32" s="42">
        <v>983151150</v>
      </c>
      <c r="X32" s="42" t="s">
        <v>117</v>
      </c>
      <c r="Y32" s="42" t="s">
        <v>552</v>
      </c>
      <c r="Z32" s="42" t="s">
        <v>476</v>
      </c>
      <c r="AA32" s="42" t="s">
        <v>447</v>
      </c>
      <c r="AB32" s="42" t="s">
        <v>121</v>
      </c>
      <c r="AC32" s="42" t="s">
        <v>281</v>
      </c>
      <c r="AD32" s="42"/>
      <c r="AE32" s="42" t="s">
        <v>148</v>
      </c>
      <c r="AF32" s="42" t="s">
        <v>240</v>
      </c>
      <c r="AG32" s="42">
        <v>1128</v>
      </c>
      <c r="AH32" s="42" t="s">
        <v>448</v>
      </c>
      <c r="AI32" s="42" t="s">
        <v>679</v>
      </c>
      <c r="AJ32" s="42" t="s">
        <v>184</v>
      </c>
      <c r="AK32" s="42" t="s">
        <v>449</v>
      </c>
      <c r="AL32" s="42" t="s">
        <v>121</v>
      </c>
      <c r="AM32" s="42"/>
      <c r="AN32" s="42" t="s">
        <v>122</v>
      </c>
      <c r="AO32" s="42" t="s">
        <v>592</v>
      </c>
      <c r="AP32" s="42"/>
      <c r="AQ32" s="42" t="s">
        <v>449</v>
      </c>
      <c r="AR32" s="42" t="s">
        <v>114</v>
      </c>
      <c r="AS32" s="42" t="s">
        <v>114</v>
      </c>
      <c r="AT32" s="42">
        <v>0</v>
      </c>
      <c r="AU32" s="42">
        <v>0</v>
      </c>
      <c r="AV32" s="42"/>
      <c r="AW32" s="42"/>
      <c r="AX32" s="42" t="s">
        <v>281</v>
      </c>
      <c r="AY32" s="42" t="s">
        <v>451</v>
      </c>
      <c r="AZ32" s="42">
        <v>1</v>
      </c>
      <c r="BA32" s="89">
        <v>0</v>
      </c>
      <c r="BB32" s="89">
        <v>0</v>
      </c>
      <c r="BC32" s="89">
        <v>0</v>
      </c>
      <c r="BD32" s="89">
        <v>0</v>
      </c>
      <c r="BE32" s="89">
        <v>0</v>
      </c>
      <c r="BF32" s="89">
        <v>0</v>
      </c>
      <c r="BG32" s="89">
        <v>0</v>
      </c>
      <c r="BH32" s="125">
        <v>0</v>
      </c>
      <c r="BI32" s="89">
        <v>0</v>
      </c>
      <c r="BJ32" s="89">
        <v>0</v>
      </c>
      <c r="BK32" s="89">
        <v>0</v>
      </c>
      <c r="BL32" s="89">
        <v>0</v>
      </c>
      <c r="BM32" s="89">
        <v>0</v>
      </c>
      <c r="BN32" s="89"/>
      <c r="BO32" s="42"/>
      <c r="BP32" s="42"/>
      <c r="BQ32" s="42">
        <v>285.3</v>
      </c>
      <c r="BR32" s="42">
        <v>202605</v>
      </c>
      <c r="BS32" s="42"/>
      <c r="BT32" s="89" t="s">
        <v>451</v>
      </c>
      <c r="BU32" s="44" t="s">
        <v>451</v>
      </c>
      <c r="BV32" s="44" t="s">
        <v>451</v>
      </c>
    </row>
    <row r="33" spans="1:74" ht="14.25" customHeight="1">
      <c r="A33" s="42">
        <v>5951217</v>
      </c>
      <c r="B33" s="42">
        <v>7</v>
      </c>
      <c r="C33" s="42">
        <v>20603692421</v>
      </c>
      <c r="D33" s="42" t="s">
        <v>119</v>
      </c>
      <c r="E33" s="42" t="s">
        <v>436</v>
      </c>
      <c r="F33" s="42" t="s">
        <v>654</v>
      </c>
      <c r="G33" s="42" t="s">
        <v>608</v>
      </c>
      <c r="H33" s="42" t="s">
        <v>439</v>
      </c>
      <c r="I33" s="42">
        <v>5137</v>
      </c>
      <c r="J33" s="42" t="s">
        <v>577</v>
      </c>
      <c r="K33" s="42" t="s">
        <v>655</v>
      </c>
      <c r="L33" s="42" t="s">
        <v>656</v>
      </c>
      <c r="M33" s="42" t="s">
        <v>497</v>
      </c>
      <c r="N33" s="42" t="s">
        <v>497</v>
      </c>
      <c r="O33" s="42"/>
      <c r="P33" s="42" t="s">
        <v>457</v>
      </c>
      <c r="Q33" s="42" t="s">
        <v>657</v>
      </c>
      <c r="R33" s="42">
        <v>20260525</v>
      </c>
      <c r="S33" s="42" t="s">
        <v>116</v>
      </c>
      <c r="T33" s="42" t="s">
        <v>445</v>
      </c>
      <c r="U33" s="42" t="s">
        <v>499</v>
      </c>
      <c r="V33" s="42">
        <v>2152546170005</v>
      </c>
      <c r="W33" s="42">
        <v>974799215</v>
      </c>
      <c r="X33" s="42" t="s">
        <v>117</v>
      </c>
      <c r="Y33" s="42" t="s">
        <v>607</v>
      </c>
      <c r="Z33" s="42" t="s">
        <v>446</v>
      </c>
      <c r="AA33" s="42" t="s">
        <v>447</v>
      </c>
      <c r="AB33" s="42" t="s">
        <v>121</v>
      </c>
      <c r="AC33" s="42" t="s">
        <v>235</v>
      </c>
      <c r="AD33" s="42"/>
      <c r="AE33" s="42" t="s">
        <v>148</v>
      </c>
      <c r="AF33" s="42"/>
      <c r="AG33" s="42">
        <v>1128</v>
      </c>
      <c r="AH33" s="42" t="s">
        <v>448</v>
      </c>
      <c r="AI33" s="42" t="s">
        <v>679</v>
      </c>
      <c r="AJ33" s="42" t="s">
        <v>680</v>
      </c>
      <c r="AK33" s="42" t="s">
        <v>449</v>
      </c>
      <c r="AL33" s="42" t="s">
        <v>121</v>
      </c>
      <c r="AM33" s="42"/>
      <c r="AN33" s="42" t="s">
        <v>122</v>
      </c>
      <c r="AO33" s="42" t="s">
        <v>492</v>
      </c>
      <c r="AP33" s="42"/>
      <c r="AQ33" s="42" t="s">
        <v>449</v>
      </c>
      <c r="AR33" s="42" t="s">
        <v>114</v>
      </c>
      <c r="AS33" s="42" t="s">
        <v>114</v>
      </c>
      <c r="AT33" s="42">
        <v>0</v>
      </c>
      <c r="AU33" s="42">
        <v>0</v>
      </c>
      <c r="AV33" s="42" t="s">
        <v>658</v>
      </c>
      <c r="AW33" s="42" t="s">
        <v>659</v>
      </c>
      <c r="AX33" s="42" t="s">
        <v>235</v>
      </c>
      <c r="AY33" s="42" t="s">
        <v>451</v>
      </c>
      <c r="AZ33" s="42">
        <v>1</v>
      </c>
      <c r="BA33" s="89">
        <v>597</v>
      </c>
      <c r="BB33" s="89">
        <v>597</v>
      </c>
      <c r="BC33" s="89">
        <v>597</v>
      </c>
      <c r="BD33" s="89">
        <v>597</v>
      </c>
      <c r="BE33" s="89">
        <v>0</v>
      </c>
      <c r="BF33" s="89">
        <v>0</v>
      </c>
      <c r="BG33" s="89">
        <v>0</v>
      </c>
      <c r="BH33" s="125">
        <v>597</v>
      </c>
      <c r="BI33" s="89">
        <v>0</v>
      </c>
      <c r="BJ33" s="89">
        <v>0</v>
      </c>
      <c r="BK33" s="89">
        <v>0</v>
      </c>
      <c r="BL33" s="89">
        <v>0</v>
      </c>
      <c r="BM33" s="89">
        <v>0</v>
      </c>
      <c r="BN33" s="89" t="s">
        <v>461</v>
      </c>
      <c r="BO33" s="42" t="s">
        <v>461</v>
      </c>
      <c r="BP33" s="42"/>
      <c r="BQ33" s="42">
        <v>0</v>
      </c>
      <c r="BR33" s="42">
        <v>202605</v>
      </c>
      <c r="BS33" s="42"/>
      <c r="BT33" s="89" t="s">
        <v>451</v>
      </c>
      <c r="BU33" s="44" t="s">
        <v>451</v>
      </c>
      <c r="BV33" s="44" t="s">
        <v>451</v>
      </c>
    </row>
    <row r="34" spans="1:74" ht="14.25" customHeight="1">
      <c r="A34" s="42">
        <v>5951239</v>
      </c>
      <c r="B34" s="42">
        <v>7</v>
      </c>
      <c r="C34" s="42">
        <v>20603692421</v>
      </c>
      <c r="D34" s="42" t="s">
        <v>119</v>
      </c>
      <c r="E34" s="42" t="s">
        <v>436</v>
      </c>
      <c r="F34" s="42" t="s">
        <v>654</v>
      </c>
      <c r="G34" s="42" t="s">
        <v>608</v>
      </c>
      <c r="H34" s="42" t="s">
        <v>439</v>
      </c>
      <c r="I34" s="42">
        <v>5137</v>
      </c>
      <c r="J34" s="42" t="s">
        <v>577</v>
      </c>
      <c r="K34" s="42" t="s">
        <v>655</v>
      </c>
      <c r="L34" s="42" t="s">
        <v>656</v>
      </c>
      <c r="M34" s="42" t="s">
        <v>497</v>
      </c>
      <c r="N34" s="42" t="s">
        <v>497</v>
      </c>
      <c r="O34" s="42"/>
      <c r="P34" s="42" t="s">
        <v>457</v>
      </c>
      <c r="Q34" s="42" t="s">
        <v>657</v>
      </c>
      <c r="R34" s="42">
        <v>20260525</v>
      </c>
      <c r="S34" s="42" t="s">
        <v>116</v>
      </c>
      <c r="T34" s="42" t="s">
        <v>445</v>
      </c>
      <c r="U34" s="42" t="s">
        <v>499</v>
      </c>
      <c r="V34" s="42">
        <v>2152546170005</v>
      </c>
      <c r="W34" s="42">
        <v>974799215</v>
      </c>
      <c r="X34" s="42" t="s">
        <v>117</v>
      </c>
      <c r="Y34" s="42" t="s">
        <v>610</v>
      </c>
      <c r="Z34" s="42" t="s">
        <v>446</v>
      </c>
      <c r="AA34" s="42" t="s">
        <v>447</v>
      </c>
      <c r="AB34" s="42" t="s">
        <v>121</v>
      </c>
      <c r="AC34" s="42" t="s">
        <v>235</v>
      </c>
      <c r="AD34" s="42"/>
      <c r="AE34" s="42" t="s">
        <v>148</v>
      </c>
      <c r="AF34" s="42"/>
      <c r="AG34" s="42">
        <v>1128</v>
      </c>
      <c r="AH34" s="42" t="s">
        <v>448</v>
      </c>
      <c r="AI34" s="42" t="s">
        <v>679</v>
      </c>
      <c r="AJ34" s="42" t="s">
        <v>680</v>
      </c>
      <c r="AK34" s="42" t="s">
        <v>449</v>
      </c>
      <c r="AL34" s="42" t="s">
        <v>121</v>
      </c>
      <c r="AM34" s="42"/>
      <c r="AN34" s="42" t="s">
        <v>122</v>
      </c>
      <c r="AO34" s="42" t="s">
        <v>492</v>
      </c>
      <c r="AP34" s="42"/>
      <c r="AQ34" s="42" t="s">
        <v>449</v>
      </c>
      <c r="AR34" s="42" t="s">
        <v>114</v>
      </c>
      <c r="AS34" s="42" t="s">
        <v>114</v>
      </c>
      <c r="AT34" s="42">
        <v>0</v>
      </c>
      <c r="AU34" s="42">
        <v>0</v>
      </c>
      <c r="AV34" s="42" t="s">
        <v>658</v>
      </c>
      <c r="AW34" s="42" t="s">
        <v>659</v>
      </c>
      <c r="AX34" s="42" t="s">
        <v>235</v>
      </c>
      <c r="AY34" s="42" t="s">
        <v>451</v>
      </c>
      <c r="AZ34" s="42">
        <v>1</v>
      </c>
      <c r="BA34" s="89">
        <v>597</v>
      </c>
      <c r="BB34" s="89">
        <v>597</v>
      </c>
      <c r="BC34" s="89">
        <v>597</v>
      </c>
      <c r="BD34" s="89">
        <v>597</v>
      </c>
      <c r="BE34" s="89">
        <v>597</v>
      </c>
      <c r="BF34" s="89">
        <v>0</v>
      </c>
      <c r="BG34" s="89">
        <v>597</v>
      </c>
      <c r="BH34" s="125">
        <v>597</v>
      </c>
      <c r="BI34" s="89">
        <v>1</v>
      </c>
      <c r="BJ34" s="89">
        <v>1</v>
      </c>
      <c r="BK34" s="89">
        <v>597</v>
      </c>
      <c r="BL34" s="89">
        <v>597</v>
      </c>
      <c r="BM34" s="89">
        <v>597</v>
      </c>
      <c r="BN34" s="89" t="s">
        <v>461</v>
      </c>
      <c r="BO34" s="42" t="s">
        <v>461</v>
      </c>
      <c r="BP34" s="42"/>
      <c r="BQ34" s="42">
        <v>0</v>
      </c>
      <c r="BR34" s="42">
        <v>202605</v>
      </c>
      <c r="BS34" s="42">
        <v>202606</v>
      </c>
      <c r="BT34" s="89">
        <v>597</v>
      </c>
      <c r="BU34" s="44">
        <v>0</v>
      </c>
      <c r="BV34" s="44">
        <v>597</v>
      </c>
    </row>
    <row r="35" spans="1:74" ht="14.25" customHeight="1">
      <c r="A35" s="42">
        <v>5951256</v>
      </c>
      <c r="B35" s="42">
        <v>1</v>
      </c>
      <c r="C35" s="42">
        <v>20604305102</v>
      </c>
      <c r="D35" s="42" t="s">
        <v>645</v>
      </c>
      <c r="E35" s="42" t="s">
        <v>452</v>
      </c>
      <c r="F35" s="42" t="s">
        <v>660</v>
      </c>
      <c r="G35" s="42" t="s">
        <v>694</v>
      </c>
      <c r="H35" s="42" t="s">
        <v>439</v>
      </c>
      <c r="I35" s="42">
        <v>5533</v>
      </c>
      <c r="J35" s="42" t="s">
        <v>583</v>
      </c>
      <c r="K35" s="42" t="s">
        <v>661</v>
      </c>
      <c r="L35" s="42" t="s">
        <v>240</v>
      </c>
      <c r="M35" s="42" t="s">
        <v>240</v>
      </c>
      <c r="N35" s="42" t="s">
        <v>542</v>
      </c>
      <c r="O35" s="42" t="s">
        <v>240</v>
      </c>
      <c r="P35" s="42" t="s">
        <v>457</v>
      </c>
      <c r="Q35" s="42" t="s">
        <v>662</v>
      </c>
      <c r="R35" s="42">
        <v>20260525</v>
      </c>
      <c r="S35" s="42" t="s">
        <v>663</v>
      </c>
      <c r="T35" s="42" t="s">
        <v>445</v>
      </c>
      <c r="U35" s="42" t="s">
        <v>120</v>
      </c>
      <c r="V35" s="42">
        <v>7003006623993</v>
      </c>
      <c r="W35" s="42">
        <v>949674865</v>
      </c>
      <c r="X35" s="42" t="s">
        <v>664</v>
      </c>
      <c r="Y35" s="42" t="s">
        <v>665</v>
      </c>
      <c r="Z35" s="42" t="s">
        <v>446</v>
      </c>
      <c r="AA35" s="42" t="s">
        <v>447</v>
      </c>
      <c r="AB35" s="42" t="s">
        <v>121</v>
      </c>
      <c r="AC35" s="42" t="s">
        <v>281</v>
      </c>
      <c r="AD35" s="42"/>
      <c r="AE35" s="42" t="s">
        <v>148</v>
      </c>
      <c r="AF35" s="42" t="s">
        <v>240</v>
      </c>
      <c r="AG35" s="42">
        <v>1128</v>
      </c>
      <c r="AH35" s="42" t="s">
        <v>448</v>
      </c>
      <c r="AI35" s="42" t="s">
        <v>679</v>
      </c>
      <c r="AJ35" s="42" t="s">
        <v>184</v>
      </c>
      <c r="AK35" s="42" t="s">
        <v>449</v>
      </c>
      <c r="AL35" s="42" t="s">
        <v>121</v>
      </c>
      <c r="AM35" s="42"/>
      <c r="AN35" s="42" t="s">
        <v>122</v>
      </c>
      <c r="AO35" s="42" t="s">
        <v>592</v>
      </c>
      <c r="AP35" s="42"/>
      <c r="AQ35" s="42" t="s">
        <v>449</v>
      </c>
      <c r="AR35" s="42" t="s">
        <v>114</v>
      </c>
      <c r="AS35" s="42" t="s">
        <v>114</v>
      </c>
      <c r="AT35" s="42">
        <v>22066.066666666669</v>
      </c>
      <c r="AU35" s="42">
        <v>14980.83333333333</v>
      </c>
      <c r="AV35" s="42" t="s">
        <v>666</v>
      </c>
      <c r="AW35" s="42" t="s">
        <v>667</v>
      </c>
      <c r="AX35" s="42" t="s">
        <v>281</v>
      </c>
      <c r="AY35" s="42"/>
      <c r="AZ35" s="42">
        <v>1</v>
      </c>
      <c r="BA35" s="89">
        <v>25027.5</v>
      </c>
      <c r="BB35" s="89">
        <v>13355.5</v>
      </c>
      <c r="BC35" s="89">
        <v>12347.5</v>
      </c>
      <c r="BD35" s="89">
        <v>675.5</v>
      </c>
      <c r="BE35" s="89">
        <v>2961.4333333333338</v>
      </c>
      <c r="BF35" s="89">
        <v>2961.4333333333338</v>
      </c>
      <c r="BG35" s="89">
        <v>0</v>
      </c>
      <c r="BH35" s="125">
        <v>0</v>
      </c>
      <c r="BI35" s="89">
        <v>1</v>
      </c>
      <c r="BJ35" s="89">
        <v>1</v>
      </c>
      <c r="BK35" s="89">
        <v>0</v>
      </c>
      <c r="BL35" s="89">
        <v>675.5</v>
      </c>
      <c r="BM35" s="89">
        <v>12347.5</v>
      </c>
      <c r="BN35" s="89" t="s">
        <v>461</v>
      </c>
      <c r="BO35" s="42" t="s">
        <v>461</v>
      </c>
      <c r="BP35" s="42"/>
      <c r="BQ35" s="42">
        <v>2510</v>
      </c>
      <c r="BR35" s="42">
        <v>202605</v>
      </c>
      <c r="BS35" s="42">
        <v>202606</v>
      </c>
      <c r="BT35" s="89">
        <v>675.5</v>
      </c>
      <c r="BU35" s="44">
        <v>675.5</v>
      </c>
      <c r="BV35" s="44">
        <v>0</v>
      </c>
    </row>
    <row r="36" spans="1:74" ht="14.25" customHeight="1">
      <c r="A36" s="42">
        <v>5951532</v>
      </c>
      <c r="B36" s="42">
        <v>1</v>
      </c>
      <c r="C36" s="42">
        <v>20611895110</v>
      </c>
      <c r="D36" s="42" t="s">
        <v>119</v>
      </c>
      <c r="E36" s="42" t="s">
        <v>436</v>
      </c>
      <c r="F36" s="42" t="s">
        <v>633</v>
      </c>
      <c r="G36" s="42" t="s">
        <v>634</v>
      </c>
      <c r="H36" s="42" t="s">
        <v>439</v>
      </c>
      <c r="I36" s="42">
        <v>5462</v>
      </c>
      <c r="J36" s="42" t="s">
        <v>635</v>
      </c>
      <c r="K36" s="42" t="s">
        <v>636</v>
      </c>
      <c r="L36" s="42" t="s">
        <v>637</v>
      </c>
      <c r="M36" s="42" t="s">
        <v>637</v>
      </c>
      <c r="N36" s="42" t="s">
        <v>322</v>
      </c>
      <c r="O36" s="42" t="s">
        <v>240</v>
      </c>
      <c r="P36" s="42" t="s">
        <v>457</v>
      </c>
      <c r="Q36" s="42" t="s">
        <v>638</v>
      </c>
      <c r="R36" s="42">
        <v>20260526</v>
      </c>
      <c r="S36" s="42" t="s">
        <v>116</v>
      </c>
      <c r="T36" s="42" t="s">
        <v>445</v>
      </c>
      <c r="U36" s="42" t="s">
        <v>120</v>
      </c>
      <c r="V36" s="42">
        <v>7653007926822</v>
      </c>
      <c r="W36" s="42">
        <v>947969637</v>
      </c>
      <c r="X36" s="42" t="s">
        <v>117</v>
      </c>
      <c r="Y36" s="42" t="s">
        <v>612</v>
      </c>
      <c r="Z36" s="42" t="s">
        <v>446</v>
      </c>
      <c r="AA36" s="42" t="s">
        <v>447</v>
      </c>
      <c r="AB36" s="42" t="s">
        <v>121</v>
      </c>
      <c r="AC36" s="42" t="s">
        <v>323</v>
      </c>
      <c r="AD36" s="42"/>
      <c r="AE36" s="42" t="s">
        <v>148</v>
      </c>
      <c r="AF36" s="42" t="s">
        <v>322</v>
      </c>
      <c r="AG36" s="42">
        <v>1128</v>
      </c>
      <c r="AH36" s="42" t="s">
        <v>448</v>
      </c>
      <c r="AI36" s="42" t="s">
        <v>679</v>
      </c>
      <c r="AJ36" s="42" t="s">
        <v>184</v>
      </c>
      <c r="AK36" s="42" t="s">
        <v>449</v>
      </c>
      <c r="AL36" s="42" t="s">
        <v>121</v>
      </c>
      <c r="AM36" s="42"/>
      <c r="AN36" s="42" t="s">
        <v>122</v>
      </c>
      <c r="AO36" s="42" t="s">
        <v>639</v>
      </c>
      <c r="AP36" s="42"/>
      <c r="AQ36" s="42" t="s">
        <v>449</v>
      </c>
      <c r="AR36" s="42" t="s">
        <v>114</v>
      </c>
      <c r="AS36" s="42" t="s">
        <v>114</v>
      </c>
      <c r="AT36" s="42">
        <v>0</v>
      </c>
      <c r="AU36" s="42">
        <v>0</v>
      </c>
      <c r="AV36" s="42" t="s">
        <v>640</v>
      </c>
      <c r="AW36" s="42" t="s">
        <v>640</v>
      </c>
      <c r="AX36" s="42" t="s">
        <v>323</v>
      </c>
      <c r="AY36" s="42" t="s">
        <v>451</v>
      </c>
      <c r="AZ36" s="42">
        <v>1</v>
      </c>
      <c r="BA36" s="89">
        <v>16903.2</v>
      </c>
      <c r="BB36" s="89">
        <v>1979</v>
      </c>
      <c r="BC36" s="89">
        <v>16903.2</v>
      </c>
      <c r="BD36" s="89">
        <v>1979</v>
      </c>
      <c r="BE36" s="89">
        <v>16903.2</v>
      </c>
      <c r="BF36" s="89">
        <v>15487.7</v>
      </c>
      <c r="BG36" s="89">
        <v>1415.5</v>
      </c>
      <c r="BH36" s="125">
        <v>1979</v>
      </c>
      <c r="BI36" s="89">
        <v>1</v>
      </c>
      <c r="BJ36" s="89">
        <v>1</v>
      </c>
      <c r="BK36" s="89">
        <v>1979</v>
      </c>
      <c r="BL36" s="89">
        <v>1979</v>
      </c>
      <c r="BM36" s="89">
        <v>16903.2</v>
      </c>
      <c r="BN36" s="89" t="s">
        <v>461</v>
      </c>
      <c r="BO36" s="42" t="s">
        <v>461</v>
      </c>
      <c r="BP36" s="42"/>
      <c r="BQ36" s="42">
        <v>2792.7</v>
      </c>
      <c r="BR36" s="42">
        <v>202605</v>
      </c>
      <c r="BS36" s="42">
        <v>202606</v>
      </c>
      <c r="BT36" s="89">
        <v>1979</v>
      </c>
      <c r="BU36" s="44">
        <v>563.5</v>
      </c>
      <c r="BV36" s="44">
        <v>1415.5</v>
      </c>
    </row>
    <row r="37" spans="1:74" ht="14.25" customHeight="1">
      <c r="A37" s="42">
        <v>5951722</v>
      </c>
      <c r="B37" s="42">
        <v>1</v>
      </c>
      <c r="C37" s="42">
        <v>20613702629</v>
      </c>
      <c r="D37" s="42" t="s">
        <v>119</v>
      </c>
      <c r="E37" s="42" t="s">
        <v>452</v>
      </c>
      <c r="F37" s="42" t="s">
        <v>668</v>
      </c>
      <c r="G37" s="42" t="s">
        <v>669</v>
      </c>
      <c r="H37" s="42" t="s">
        <v>439</v>
      </c>
      <c r="I37" s="42">
        <v>1520</v>
      </c>
      <c r="J37" s="42" t="s">
        <v>463</v>
      </c>
      <c r="K37" s="42" t="s">
        <v>670</v>
      </c>
      <c r="L37" s="42" t="s">
        <v>507</v>
      </c>
      <c r="M37" s="42" t="s">
        <v>122</v>
      </c>
      <c r="N37" s="42" t="s">
        <v>122</v>
      </c>
      <c r="O37" s="42" t="s">
        <v>443</v>
      </c>
      <c r="P37" s="42" t="s">
        <v>122</v>
      </c>
      <c r="Q37" s="42" t="s">
        <v>671</v>
      </c>
      <c r="R37" s="42">
        <v>20260526</v>
      </c>
      <c r="S37" s="42" t="s">
        <v>116</v>
      </c>
      <c r="T37" s="42" t="s">
        <v>445</v>
      </c>
      <c r="U37" s="42" t="s">
        <v>120</v>
      </c>
      <c r="V37" s="42">
        <v>2003008406756</v>
      </c>
      <c r="W37" s="42">
        <v>964745255</v>
      </c>
      <c r="X37" s="42" t="s">
        <v>117</v>
      </c>
      <c r="Y37" s="42" t="s">
        <v>618</v>
      </c>
      <c r="Z37" s="42" t="s">
        <v>446</v>
      </c>
      <c r="AA37" s="42" t="s">
        <v>447</v>
      </c>
      <c r="AB37" s="42" t="s">
        <v>121</v>
      </c>
      <c r="AC37" s="42" t="s">
        <v>125</v>
      </c>
      <c r="AD37" s="42"/>
      <c r="AE37" s="42" t="s">
        <v>148</v>
      </c>
      <c r="AF37" s="42" t="s">
        <v>122</v>
      </c>
      <c r="AG37" s="42">
        <v>1128</v>
      </c>
      <c r="AH37" s="42" t="s">
        <v>448</v>
      </c>
      <c r="AI37" s="42" t="s">
        <v>679</v>
      </c>
      <c r="AJ37" s="42" t="s">
        <v>184</v>
      </c>
      <c r="AK37" s="42" t="s">
        <v>449</v>
      </c>
      <c r="AL37" s="42" t="s">
        <v>121</v>
      </c>
      <c r="AM37" s="42"/>
      <c r="AN37" s="42" t="s">
        <v>122</v>
      </c>
      <c r="AO37" s="42" t="s">
        <v>126</v>
      </c>
      <c r="AP37" s="42"/>
      <c r="AQ37" s="42" t="s">
        <v>449</v>
      </c>
      <c r="AR37" s="42" t="s">
        <v>114</v>
      </c>
      <c r="AS37" s="42" t="s">
        <v>114</v>
      </c>
      <c r="AT37" s="42">
        <v>0</v>
      </c>
      <c r="AU37" s="42">
        <v>0</v>
      </c>
      <c r="AV37" s="42"/>
      <c r="AW37" s="42"/>
      <c r="AX37" s="42" t="s">
        <v>125</v>
      </c>
      <c r="AY37" s="42" t="s">
        <v>451</v>
      </c>
      <c r="AZ37" s="42">
        <v>1</v>
      </c>
      <c r="BA37" s="89">
        <v>84788.069999999992</v>
      </c>
      <c r="BB37" s="89">
        <v>84588.169999999984</v>
      </c>
      <c r="BC37" s="89">
        <v>84788.069999999992</v>
      </c>
      <c r="BD37" s="89">
        <v>84588.169999999984</v>
      </c>
      <c r="BE37" s="89">
        <v>33707.72</v>
      </c>
      <c r="BF37" s="89">
        <v>133.38999999999999</v>
      </c>
      <c r="BG37" s="89">
        <v>33574.33</v>
      </c>
      <c r="BH37" s="125">
        <v>84588.169999999984</v>
      </c>
      <c r="BI37" s="89">
        <v>0.39755262739203762</v>
      </c>
      <c r="BJ37" s="89">
        <v>0.39691519511534529</v>
      </c>
      <c r="BK37" s="89">
        <v>33574.329999999987</v>
      </c>
      <c r="BL37" s="89">
        <v>33574.329999999987</v>
      </c>
      <c r="BM37" s="89">
        <v>33707.72</v>
      </c>
      <c r="BN37" s="89"/>
      <c r="BO37" s="42"/>
      <c r="BP37" s="42"/>
      <c r="BQ37" s="42">
        <v>8456.14</v>
      </c>
      <c r="BR37" s="42">
        <v>202605</v>
      </c>
      <c r="BS37" s="42">
        <v>202606</v>
      </c>
      <c r="BT37" s="89">
        <v>33574.33</v>
      </c>
      <c r="BU37" s="44">
        <v>0</v>
      </c>
      <c r="BV37" s="44">
        <v>33574.33</v>
      </c>
    </row>
    <row r="38" spans="1:74" ht="14.25" customHeight="1">
      <c r="A38" s="42">
        <v>5951698</v>
      </c>
      <c r="B38" s="42">
        <v>1</v>
      </c>
      <c r="C38" s="42">
        <v>20613702629</v>
      </c>
      <c r="D38" s="42" t="s">
        <v>119</v>
      </c>
      <c r="E38" s="42" t="s">
        <v>452</v>
      </c>
      <c r="F38" s="42" t="s">
        <v>668</v>
      </c>
      <c r="G38" s="42" t="s">
        <v>669</v>
      </c>
      <c r="H38" s="42" t="s">
        <v>439</v>
      </c>
      <c r="I38" s="42">
        <v>1520</v>
      </c>
      <c r="J38" s="42" t="s">
        <v>463</v>
      </c>
      <c r="K38" s="42" t="s">
        <v>670</v>
      </c>
      <c r="L38" s="42" t="s">
        <v>507</v>
      </c>
      <c r="M38" s="42" t="s">
        <v>122</v>
      </c>
      <c r="N38" s="42" t="s">
        <v>122</v>
      </c>
      <c r="O38" s="42" t="s">
        <v>443</v>
      </c>
      <c r="P38" s="42" t="s">
        <v>122</v>
      </c>
      <c r="Q38" s="42" t="s">
        <v>671</v>
      </c>
      <c r="R38" s="42">
        <v>20260526</v>
      </c>
      <c r="S38" s="42" t="s">
        <v>116</v>
      </c>
      <c r="T38" s="42" t="s">
        <v>445</v>
      </c>
      <c r="U38" s="42" t="s">
        <v>120</v>
      </c>
      <c r="V38" s="42">
        <v>2003008406756</v>
      </c>
      <c r="W38" s="42">
        <v>964745255</v>
      </c>
      <c r="X38" s="42" t="s">
        <v>117</v>
      </c>
      <c r="Y38" s="42" t="s">
        <v>615</v>
      </c>
      <c r="Z38" s="42" t="s">
        <v>446</v>
      </c>
      <c r="AA38" s="42" t="s">
        <v>447</v>
      </c>
      <c r="AB38" s="42" t="s">
        <v>121</v>
      </c>
      <c r="AC38" s="42" t="s">
        <v>125</v>
      </c>
      <c r="AD38" s="42"/>
      <c r="AE38" s="42" t="s">
        <v>148</v>
      </c>
      <c r="AF38" s="42" t="s">
        <v>122</v>
      </c>
      <c r="AG38" s="42">
        <v>1128</v>
      </c>
      <c r="AH38" s="42" t="s">
        <v>448</v>
      </c>
      <c r="AI38" s="42" t="s">
        <v>679</v>
      </c>
      <c r="AJ38" s="42" t="s">
        <v>184</v>
      </c>
      <c r="AK38" s="42" t="s">
        <v>449</v>
      </c>
      <c r="AL38" s="42" t="s">
        <v>121</v>
      </c>
      <c r="AM38" s="42"/>
      <c r="AN38" s="42" t="s">
        <v>122</v>
      </c>
      <c r="AO38" s="42" t="s">
        <v>126</v>
      </c>
      <c r="AP38" s="42"/>
      <c r="AQ38" s="42" t="s">
        <v>449</v>
      </c>
      <c r="AR38" s="42" t="s">
        <v>114</v>
      </c>
      <c r="AS38" s="42" t="s">
        <v>114</v>
      </c>
      <c r="AT38" s="42">
        <v>0</v>
      </c>
      <c r="AU38" s="42">
        <v>0</v>
      </c>
      <c r="AV38" s="42"/>
      <c r="AW38" s="42"/>
      <c r="AX38" s="42" t="s">
        <v>125</v>
      </c>
      <c r="AY38" s="42" t="s">
        <v>451</v>
      </c>
      <c r="AZ38" s="42">
        <v>1</v>
      </c>
      <c r="BA38" s="89">
        <v>84788.069999999992</v>
      </c>
      <c r="BB38" s="89">
        <v>84588.169999999984</v>
      </c>
      <c r="BC38" s="89">
        <v>84788.069999999992</v>
      </c>
      <c r="BD38" s="89">
        <v>84588.169999999984</v>
      </c>
      <c r="BE38" s="89">
        <v>51080.35</v>
      </c>
      <c r="BF38" s="89">
        <v>66.510000000000005</v>
      </c>
      <c r="BG38" s="89">
        <v>51013.84</v>
      </c>
      <c r="BH38" s="125">
        <v>84588.169999999984</v>
      </c>
      <c r="BI38" s="89">
        <v>0.60244737260796244</v>
      </c>
      <c r="BJ38" s="89">
        <v>0.60308480488465455</v>
      </c>
      <c r="BK38" s="89">
        <v>51013.839999999982</v>
      </c>
      <c r="BL38" s="89">
        <v>51013.839999999982</v>
      </c>
      <c r="BM38" s="89">
        <v>51080.35</v>
      </c>
      <c r="BN38" s="89"/>
      <c r="BO38" s="42"/>
      <c r="BP38" s="42"/>
      <c r="BQ38" s="42">
        <v>3468.24</v>
      </c>
      <c r="BR38" s="42">
        <v>202605</v>
      </c>
      <c r="BS38" s="42">
        <v>202606</v>
      </c>
      <c r="BT38" s="89">
        <v>51013.84</v>
      </c>
      <c r="BU38" s="44">
        <v>0</v>
      </c>
      <c r="BV38" s="44">
        <v>51013.84</v>
      </c>
    </row>
    <row r="39" spans="1:74" ht="14.25" customHeight="1">
      <c r="A39" s="42">
        <v>5952607</v>
      </c>
      <c r="B39" s="42">
        <v>1</v>
      </c>
      <c r="C39" s="42">
        <v>20611374420</v>
      </c>
      <c r="D39" s="42" t="s">
        <v>119</v>
      </c>
      <c r="E39" s="42" t="s">
        <v>436</v>
      </c>
      <c r="F39" s="42" t="s">
        <v>681</v>
      </c>
      <c r="G39" s="42" t="s">
        <v>682</v>
      </c>
      <c r="H39" s="42" t="s">
        <v>439</v>
      </c>
      <c r="I39" s="42">
        <v>5813</v>
      </c>
      <c r="J39" s="42" t="s">
        <v>683</v>
      </c>
      <c r="K39" s="42" t="s">
        <v>684</v>
      </c>
      <c r="L39" s="42" t="s">
        <v>685</v>
      </c>
      <c r="M39" s="42" t="s">
        <v>685</v>
      </c>
      <c r="N39" s="42" t="s">
        <v>322</v>
      </c>
      <c r="O39" s="42" t="s">
        <v>240</v>
      </c>
      <c r="P39" s="42" t="s">
        <v>457</v>
      </c>
      <c r="Q39" s="42" t="s">
        <v>686</v>
      </c>
      <c r="R39" s="42">
        <v>20260528</v>
      </c>
      <c r="S39" s="42" t="s">
        <v>116</v>
      </c>
      <c r="T39" s="42" t="s">
        <v>445</v>
      </c>
      <c r="U39" s="42" t="s">
        <v>120</v>
      </c>
      <c r="V39" s="42">
        <v>7023008388514</v>
      </c>
      <c r="W39" s="42">
        <v>987110631</v>
      </c>
      <c r="X39" s="42" t="s">
        <v>117</v>
      </c>
      <c r="Y39" s="42" t="s">
        <v>627</v>
      </c>
      <c r="Z39" s="42" t="s">
        <v>446</v>
      </c>
      <c r="AA39" s="42" t="s">
        <v>447</v>
      </c>
      <c r="AB39" s="42" t="s">
        <v>121</v>
      </c>
      <c r="AC39" s="42" t="s">
        <v>281</v>
      </c>
      <c r="AD39" s="42"/>
      <c r="AE39" s="42" t="s">
        <v>148</v>
      </c>
      <c r="AF39" s="42" t="s">
        <v>322</v>
      </c>
      <c r="AG39" s="42">
        <v>1128</v>
      </c>
      <c r="AH39" s="42" t="s">
        <v>448</v>
      </c>
      <c r="AI39" s="42" t="s">
        <v>679</v>
      </c>
      <c r="AJ39" s="42" t="s">
        <v>184</v>
      </c>
      <c r="AK39" s="42" t="s">
        <v>449</v>
      </c>
      <c r="AL39" s="42" t="s">
        <v>121</v>
      </c>
      <c r="AM39" s="42"/>
      <c r="AN39" s="42" t="s">
        <v>122</v>
      </c>
      <c r="AO39" s="42" t="s">
        <v>592</v>
      </c>
      <c r="AP39" s="42"/>
      <c r="AQ39" s="42" t="s">
        <v>449</v>
      </c>
      <c r="AR39" s="42" t="s">
        <v>114</v>
      </c>
      <c r="AS39" s="42" t="s">
        <v>114</v>
      </c>
      <c r="AT39" s="42">
        <v>0</v>
      </c>
      <c r="AU39" s="42">
        <v>0</v>
      </c>
      <c r="AV39" s="42"/>
      <c r="AW39" s="42"/>
      <c r="AX39" s="42" t="s">
        <v>281</v>
      </c>
      <c r="AY39" s="42" t="s">
        <v>451</v>
      </c>
      <c r="AZ39" s="42">
        <v>1</v>
      </c>
      <c r="BA39" s="89">
        <v>1721.5</v>
      </c>
      <c r="BB39" s="89">
        <v>702</v>
      </c>
      <c r="BC39" s="89">
        <v>1721.5</v>
      </c>
      <c r="BD39" s="89">
        <v>702</v>
      </c>
      <c r="BE39" s="89">
        <v>1721.5</v>
      </c>
      <c r="BF39" s="89">
        <v>1019.5</v>
      </c>
      <c r="BG39" s="89">
        <v>702</v>
      </c>
      <c r="BH39" s="125">
        <v>702</v>
      </c>
      <c r="BI39" s="89">
        <v>1</v>
      </c>
      <c r="BJ39" s="89">
        <v>1</v>
      </c>
      <c r="BK39" s="89">
        <v>702</v>
      </c>
      <c r="BL39" s="89">
        <v>702</v>
      </c>
      <c r="BM39" s="89">
        <v>1721.5</v>
      </c>
      <c r="BN39" s="89"/>
      <c r="BO39" s="42"/>
      <c r="BP39" s="42"/>
      <c r="BQ39" s="42">
        <v>1</v>
      </c>
      <c r="BR39" s="42">
        <v>202605</v>
      </c>
      <c r="BS39" s="42">
        <v>202606</v>
      </c>
      <c r="BT39" s="89">
        <v>702</v>
      </c>
      <c r="BU39" s="44">
        <v>0</v>
      </c>
      <c r="BV39" s="44">
        <v>702</v>
      </c>
    </row>
    <row r="40" spans="1:74" ht="14.25" customHeight="1">
      <c r="A40" s="42">
        <v>5952866</v>
      </c>
      <c r="B40" s="42">
        <v>1</v>
      </c>
      <c r="C40" s="42">
        <v>10477313928</v>
      </c>
      <c r="D40" s="42" t="s">
        <v>119</v>
      </c>
      <c r="E40" s="42" t="s">
        <v>436</v>
      </c>
      <c r="F40" s="42" t="s">
        <v>695</v>
      </c>
      <c r="G40" s="42" t="s">
        <v>696</v>
      </c>
      <c r="H40" s="42" t="s">
        <v>439</v>
      </c>
      <c r="I40" s="42">
        <v>5499</v>
      </c>
      <c r="J40" s="42" t="s">
        <v>115</v>
      </c>
      <c r="K40" s="42" t="s">
        <v>697</v>
      </c>
      <c r="L40" s="42" t="s">
        <v>507</v>
      </c>
      <c r="M40" s="42" t="s">
        <v>122</v>
      </c>
      <c r="N40" s="42" t="s">
        <v>122</v>
      </c>
      <c r="O40" s="42" t="s">
        <v>443</v>
      </c>
      <c r="P40" s="42" t="s">
        <v>122</v>
      </c>
      <c r="Q40" s="42" t="s">
        <v>698</v>
      </c>
      <c r="R40" s="42">
        <v>20260528</v>
      </c>
      <c r="S40" s="42" t="s">
        <v>663</v>
      </c>
      <c r="T40" s="42" t="s">
        <v>474</v>
      </c>
      <c r="U40" s="42" t="s">
        <v>120</v>
      </c>
      <c r="V40" s="42">
        <v>2003008394880</v>
      </c>
      <c r="W40" s="42">
        <v>902472998</v>
      </c>
      <c r="X40" s="42" t="s">
        <v>664</v>
      </c>
      <c r="Y40" s="42" t="s">
        <v>700</v>
      </c>
      <c r="Z40" s="42" t="s">
        <v>476</v>
      </c>
      <c r="AA40" s="42" t="s">
        <v>447</v>
      </c>
      <c r="AB40" s="42" t="s">
        <v>121</v>
      </c>
      <c r="AC40" s="42" t="s">
        <v>162</v>
      </c>
      <c r="AD40" s="42"/>
      <c r="AE40" s="42" t="s">
        <v>148</v>
      </c>
      <c r="AF40" s="42" t="s">
        <v>122</v>
      </c>
      <c r="AG40" s="42">
        <v>1128</v>
      </c>
      <c r="AH40" s="42" t="s">
        <v>448</v>
      </c>
      <c r="AI40" s="42" t="s">
        <v>679</v>
      </c>
      <c r="AJ40" s="42" t="s">
        <v>184</v>
      </c>
      <c r="AK40" s="42" t="s">
        <v>449</v>
      </c>
      <c r="AL40" s="42" t="s">
        <v>121</v>
      </c>
      <c r="AM40" s="42"/>
      <c r="AN40" s="42" t="s">
        <v>122</v>
      </c>
      <c r="AO40" s="42" t="s">
        <v>699</v>
      </c>
      <c r="AP40" s="42"/>
      <c r="AQ40" s="42" t="s">
        <v>449</v>
      </c>
      <c r="AR40" s="42" t="s">
        <v>114</v>
      </c>
      <c r="AS40" s="42" t="s">
        <v>114</v>
      </c>
      <c r="AT40" s="42">
        <v>0</v>
      </c>
      <c r="AU40" s="42">
        <v>0</v>
      </c>
      <c r="AV40" s="42"/>
      <c r="AW40" s="42"/>
      <c r="AX40" s="42" t="s">
        <v>162</v>
      </c>
      <c r="AY40" s="42"/>
      <c r="AZ40" s="42">
        <v>1</v>
      </c>
      <c r="BA40" s="89">
        <v>16433.87</v>
      </c>
      <c r="BB40" s="89">
        <v>6281.3999999999978</v>
      </c>
      <c r="BC40" s="89">
        <v>16433.87</v>
      </c>
      <c r="BD40" s="89">
        <v>6281.3999999999978</v>
      </c>
      <c r="BE40" s="89">
        <v>10766.67</v>
      </c>
      <c r="BF40" s="89">
        <v>10766.67</v>
      </c>
      <c r="BG40" s="89">
        <v>0</v>
      </c>
      <c r="BH40" s="125">
        <v>6281.3999999999978</v>
      </c>
      <c r="BI40" s="89">
        <v>0.65515122122786662</v>
      </c>
      <c r="BJ40" s="89">
        <v>0.10096475308052349</v>
      </c>
      <c r="BK40" s="89">
        <v>634.20000000000005</v>
      </c>
      <c r="BL40" s="89">
        <v>634.20000000000005</v>
      </c>
      <c r="BM40" s="89">
        <v>10766.67</v>
      </c>
      <c r="BN40" s="89"/>
      <c r="BO40" s="42"/>
      <c r="BP40" s="42"/>
      <c r="BQ40" s="42">
        <v>9</v>
      </c>
      <c r="BR40" s="42">
        <v>202605</v>
      </c>
      <c r="BS40" s="42">
        <v>202606</v>
      </c>
      <c r="BT40" s="89">
        <v>634.20000000000005</v>
      </c>
      <c r="BU40" s="44">
        <v>634.20000000000005</v>
      </c>
      <c r="BV40" s="44">
        <v>0</v>
      </c>
    </row>
    <row r="41" spans="1:74" ht="14.25" customHeight="1">
      <c r="A41" s="42">
        <v>5952853</v>
      </c>
      <c r="B41" s="42">
        <v>1</v>
      </c>
      <c r="C41" s="42">
        <v>10477313928</v>
      </c>
      <c r="D41" s="42" t="s">
        <v>119</v>
      </c>
      <c r="E41" s="42" t="s">
        <v>436</v>
      </c>
      <c r="F41" s="42" t="s">
        <v>695</v>
      </c>
      <c r="G41" s="42" t="s">
        <v>696</v>
      </c>
      <c r="H41" s="42" t="s">
        <v>439</v>
      </c>
      <c r="I41" s="42">
        <v>5499</v>
      </c>
      <c r="J41" s="42" t="s">
        <v>115</v>
      </c>
      <c r="K41" s="42" t="s">
        <v>697</v>
      </c>
      <c r="L41" s="42" t="s">
        <v>507</v>
      </c>
      <c r="M41" s="42" t="s">
        <v>122</v>
      </c>
      <c r="N41" s="42" t="s">
        <v>122</v>
      </c>
      <c r="O41" s="42" t="s">
        <v>443</v>
      </c>
      <c r="P41" s="42" t="s">
        <v>122</v>
      </c>
      <c r="Q41" s="42" t="s">
        <v>698</v>
      </c>
      <c r="R41" s="42">
        <v>20260528</v>
      </c>
      <c r="S41" s="42" t="s">
        <v>116</v>
      </c>
      <c r="T41" s="42" t="s">
        <v>474</v>
      </c>
      <c r="U41" s="42" t="s">
        <v>120</v>
      </c>
      <c r="V41" s="42">
        <v>2003008394880</v>
      </c>
      <c r="W41" s="42">
        <v>902472998</v>
      </c>
      <c r="X41" s="42" t="s">
        <v>117</v>
      </c>
      <c r="Y41" s="42" t="s">
        <v>630</v>
      </c>
      <c r="Z41" s="42" t="s">
        <v>476</v>
      </c>
      <c r="AA41" s="42" t="s">
        <v>447</v>
      </c>
      <c r="AB41" s="42" t="s">
        <v>121</v>
      </c>
      <c r="AC41" s="42" t="s">
        <v>162</v>
      </c>
      <c r="AD41" s="42"/>
      <c r="AE41" s="42" t="s">
        <v>148</v>
      </c>
      <c r="AF41" s="42" t="s">
        <v>122</v>
      </c>
      <c r="AG41" s="42">
        <v>1128</v>
      </c>
      <c r="AH41" s="42" t="s">
        <v>448</v>
      </c>
      <c r="AI41" s="42" t="s">
        <v>679</v>
      </c>
      <c r="AJ41" s="42" t="s">
        <v>184</v>
      </c>
      <c r="AK41" s="42" t="s">
        <v>449</v>
      </c>
      <c r="AL41" s="42" t="s">
        <v>121</v>
      </c>
      <c r="AM41" s="42"/>
      <c r="AN41" s="42" t="s">
        <v>122</v>
      </c>
      <c r="AO41" s="42" t="s">
        <v>699</v>
      </c>
      <c r="AP41" s="42"/>
      <c r="AQ41" s="42" t="s">
        <v>449</v>
      </c>
      <c r="AR41" s="42" t="s">
        <v>114</v>
      </c>
      <c r="AS41" s="42" t="s">
        <v>114</v>
      </c>
      <c r="AT41" s="42">
        <v>0</v>
      </c>
      <c r="AU41" s="42">
        <v>0</v>
      </c>
      <c r="AV41" s="42"/>
      <c r="AW41" s="42"/>
      <c r="AX41" s="42" t="s">
        <v>162</v>
      </c>
      <c r="AY41" s="42" t="s">
        <v>451</v>
      </c>
      <c r="AZ41" s="42">
        <v>1</v>
      </c>
      <c r="BA41" s="89">
        <v>16433.87</v>
      </c>
      <c r="BB41" s="89">
        <v>6281.3999999999978</v>
      </c>
      <c r="BC41" s="89">
        <v>16433.87</v>
      </c>
      <c r="BD41" s="89">
        <v>6281.3999999999978</v>
      </c>
      <c r="BE41" s="89">
        <v>5667.2</v>
      </c>
      <c r="BF41" s="89">
        <v>20</v>
      </c>
      <c r="BG41" s="89">
        <v>5647.2</v>
      </c>
      <c r="BH41" s="125">
        <v>6281.3999999999978</v>
      </c>
      <c r="BI41" s="89">
        <v>0.34484877877213338</v>
      </c>
      <c r="BJ41" s="89">
        <v>0.89903524691947656</v>
      </c>
      <c r="BK41" s="89">
        <v>5647.199999999998</v>
      </c>
      <c r="BL41" s="89">
        <v>5647.199999999998</v>
      </c>
      <c r="BM41" s="89">
        <v>5667.2</v>
      </c>
      <c r="BN41" s="89"/>
      <c r="BO41" s="42"/>
      <c r="BP41" s="42"/>
      <c r="BQ41" s="42">
        <v>7</v>
      </c>
      <c r="BR41" s="42">
        <v>202605</v>
      </c>
      <c r="BS41" s="42">
        <v>202606</v>
      </c>
      <c r="BT41" s="89">
        <v>5647.2</v>
      </c>
      <c r="BU41" s="44">
        <v>0</v>
      </c>
      <c r="BV41" s="44">
        <v>5647.2</v>
      </c>
    </row>
    <row r="42" spans="1:74" ht="14.25" customHeight="1">
      <c r="A42" s="42">
        <v>5953114</v>
      </c>
      <c r="B42" s="42">
        <v>7</v>
      </c>
      <c r="C42" s="42">
        <v>20614355221</v>
      </c>
      <c r="D42" s="42" t="s">
        <v>119</v>
      </c>
      <c r="E42" s="42" t="s">
        <v>436</v>
      </c>
      <c r="F42" s="42" t="s">
        <v>715</v>
      </c>
      <c r="G42" s="42" t="s">
        <v>716</v>
      </c>
      <c r="H42" s="42" t="s">
        <v>439</v>
      </c>
      <c r="I42" s="42">
        <v>5812</v>
      </c>
      <c r="J42" s="42" t="s">
        <v>124</v>
      </c>
      <c r="K42" s="42" t="s">
        <v>717</v>
      </c>
      <c r="L42" s="42" t="s">
        <v>718</v>
      </c>
      <c r="M42" s="42" t="s">
        <v>122</v>
      </c>
      <c r="N42" s="42" t="s">
        <v>122</v>
      </c>
      <c r="O42" s="42" t="s">
        <v>443</v>
      </c>
      <c r="P42" s="42" t="s">
        <v>122</v>
      </c>
      <c r="Q42" s="42" t="s">
        <v>719</v>
      </c>
      <c r="R42" s="42">
        <v>20260529</v>
      </c>
      <c r="S42" s="42" t="s">
        <v>116</v>
      </c>
      <c r="T42" s="42" t="s">
        <v>445</v>
      </c>
      <c r="U42" s="42" t="s">
        <v>720</v>
      </c>
      <c r="V42" s="42">
        <v>1.10003670100032E+17</v>
      </c>
      <c r="W42" s="42">
        <v>985215644</v>
      </c>
      <c r="X42" s="42" t="s">
        <v>117</v>
      </c>
      <c r="Y42" s="42" t="s">
        <v>675</v>
      </c>
      <c r="Z42" s="42" t="s">
        <v>446</v>
      </c>
      <c r="AA42" s="42" t="s">
        <v>447</v>
      </c>
      <c r="AB42" s="42" t="s">
        <v>121</v>
      </c>
      <c r="AC42" s="42" t="s">
        <v>221</v>
      </c>
      <c r="AD42" s="42"/>
      <c r="AE42" s="42" t="s">
        <v>148</v>
      </c>
      <c r="AF42" s="42" t="s">
        <v>122</v>
      </c>
      <c r="AG42" s="42">
        <v>1128</v>
      </c>
      <c r="AH42" s="42" t="s">
        <v>448</v>
      </c>
      <c r="AI42" s="42" t="s">
        <v>679</v>
      </c>
      <c r="AJ42" s="42" t="s">
        <v>184</v>
      </c>
      <c r="AK42" s="42" t="s">
        <v>449</v>
      </c>
      <c r="AL42" s="42" t="s">
        <v>121</v>
      </c>
      <c r="AM42" s="42"/>
      <c r="AN42" s="42" t="s">
        <v>122</v>
      </c>
      <c r="AO42" s="42" t="s">
        <v>721</v>
      </c>
      <c r="AP42" s="42"/>
      <c r="AQ42" s="42" t="s">
        <v>449</v>
      </c>
      <c r="AR42" s="42" t="s">
        <v>114</v>
      </c>
      <c r="AS42" s="42" t="s">
        <v>114</v>
      </c>
      <c r="AT42" s="42">
        <v>0</v>
      </c>
      <c r="AU42" s="42">
        <v>0</v>
      </c>
      <c r="AV42" s="42"/>
      <c r="AW42" s="42"/>
      <c r="AX42" s="42" t="s">
        <v>221</v>
      </c>
      <c r="AY42" s="42" t="s">
        <v>451</v>
      </c>
      <c r="AZ42" s="42">
        <v>1</v>
      </c>
      <c r="BA42" s="89">
        <v>19102.75</v>
      </c>
      <c r="BB42" s="89">
        <v>16748.2</v>
      </c>
      <c r="BC42" s="89">
        <v>19102.75</v>
      </c>
      <c r="BD42" s="89">
        <v>16748.2</v>
      </c>
      <c r="BE42" s="89">
        <v>5501.3</v>
      </c>
      <c r="BF42" s="89">
        <v>892.2</v>
      </c>
      <c r="BG42" s="89">
        <v>4609.1000000000004</v>
      </c>
      <c r="BH42" s="125">
        <v>16748.2</v>
      </c>
      <c r="BI42" s="89">
        <v>0.28798471424271382</v>
      </c>
      <c r="BJ42" s="89">
        <v>0.27860307376315069</v>
      </c>
      <c r="BK42" s="89">
        <v>4666.1000000000004</v>
      </c>
      <c r="BL42" s="89">
        <v>4666.1000000000004</v>
      </c>
      <c r="BM42" s="89">
        <v>5501.3</v>
      </c>
      <c r="BN42" s="89"/>
      <c r="BO42" s="42"/>
      <c r="BP42" s="42"/>
      <c r="BQ42" s="42">
        <v>0</v>
      </c>
      <c r="BR42" s="42">
        <v>202605</v>
      </c>
      <c r="BS42" s="42">
        <v>202606</v>
      </c>
      <c r="BT42" s="89">
        <v>4666.1000000000004</v>
      </c>
      <c r="BU42" s="44">
        <v>57</v>
      </c>
      <c r="BV42" s="44">
        <v>4609.1000000000004</v>
      </c>
    </row>
    <row r="43" spans="1:74" ht="14.25" customHeight="1">
      <c r="A43" s="42">
        <v>5953111</v>
      </c>
      <c r="B43" s="42">
        <v>1</v>
      </c>
      <c r="C43" s="42">
        <v>20614355221</v>
      </c>
      <c r="D43" s="42" t="s">
        <v>119</v>
      </c>
      <c r="E43" s="42" t="s">
        <v>436</v>
      </c>
      <c r="F43" s="42" t="s">
        <v>715</v>
      </c>
      <c r="G43" s="42" t="s">
        <v>716</v>
      </c>
      <c r="H43" s="42" t="s">
        <v>439</v>
      </c>
      <c r="I43" s="42">
        <v>5812</v>
      </c>
      <c r="J43" s="42" t="s">
        <v>124</v>
      </c>
      <c r="K43" s="42" t="s">
        <v>717</v>
      </c>
      <c r="L43" s="42" t="s">
        <v>718</v>
      </c>
      <c r="M43" s="42" t="s">
        <v>122</v>
      </c>
      <c r="N43" s="42" t="s">
        <v>122</v>
      </c>
      <c r="O43" s="42" t="s">
        <v>443</v>
      </c>
      <c r="P43" s="42" t="s">
        <v>122</v>
      </c>
      <c r="Q43" s="42" t="s">
        <v>719</v>
      </c>
      <c r="R43" s="42">
        <v>20260529</v>
      </c>
      <c r="S43" s="42" t="s">
        <v>116</v>
      </c>
      <c r="T43" s="42" t="s">
        <v>445</v>
      </c>
      <c r="U43" s="42" t="s">
        <v>720</v>
      </c>
      <c r="V43" s="42">
        <v>1.10003670100032E+17</v>
      </c>
      <c r="W43" s="42">
        <v>985215644</v>
      </c>
      <c r="X43" s="42" t="s">
        <v>117</v>
      </c>
      <c r="Y43" s="42" t="s">
        <v>672</v>
      </c>
      <c r="Z43" s="42" t="s">
        <v>446</v>
      </c>
      <c r="AA43" s="42" t="s">
        <v>447</v>
      </c>
      <c r="AB43" s="42" t="s">
        <v>121</v>
      </c>
      <c r="AC43" s="42" t="s">
        <v>221</v>
      </c>
      <c r="AD43" s="42"/>
      <c r="AE43" s="42" t="s">
        <v>148</v>
      </c>
      <c r="AF43" s="42" t="s">
        <v>122</v>
      </c>
      <c r="AG43" s="42">
        <v>1128</v>
      </c>
      <c r="AH43" s="42" t="s">
        <v>448</v>
      </c>
      <c r="AI43" s="42" t="s">
        <v>679</v>
      </c>
      <c r="AJ43" s="42" t="s">
        <v>184</v>
      </c>
      <c r="AK43" s="42" t="s">
        <v>449</v>
      </c>
      <c r="AL43" s="42" t="s">
        <v>121</v>
      </c>
      <c r="AM43" s="42"/>
      <c r="AN43" s="42" t="s">
        <v>122</v>
      </c>
      <c r="AO43" s="42" t="s">
        <v>721</v>
      </c>
      <c r="AP43" s="42"/>
      <c r="AQ43" s="42" t="s">
        <v>449</v>
      </c>
      <c r="AR43" s="42" t="s">
        <v>114</v>
      </c>
      <c r="AS43" s="42" t="s">
        <v>114</v>
      </c>
      <c r="AT43" s="42">
        <v>0</v>
      </c>
      <c r="AU43" s="42">
        <v>0</v>
      </c>
      <c r="AV43" s="42"/>
      <c r="AW43" s="42"/>
      <c r="AX43" s="42" t="s">
        <v>221</v>
      </c>
      <c r="AY43" s="42" t="s">
        <v>451</v>
      </c>
      <c r="AZ43" s="42">
        <v>1</v>
      </c>
      <c r="BA43" s="89">
        <v>19102.75</v>
      </c>
      <c r="BB43" s="89">
        <v>16748.2</v>
      </c>
      <c r="BC43" s="89">
        <v>19102.75</v>
      </c>
      <c r="BD43" s="89">
        <v>16748.2</v>
      </c>
      <c r="BE43" s="89">
        <v>7008.3</v>
      </c>
      <c r="BF43" s="89">
        <v>890.1</v>
      </c>
      <c r="BG43" s="89">
        <v>6118.2</v>
      </c>
      <c r="BH43" s="125">
        <v>16748.2</v>
      </c>
      <c r="BI43" s="89">
        <v>0.36687387941526739</v>
      </c>
      <c r="BJ43" s="89">
        <v>0.37346102864785469</v>
      </c>
      <c r="BK43" s="89">
        <v>6254.8000000000011</v>
      </c>
      <c r="BL43" s="89">
        <v>6254.8000000000011</v>
      </c>
      <c r="BM43" s="89">
        <v>7008.3</v>
      </c>
      <c r="BN43" s="89"/>
      <c r="BO43" s="42"/>
      <c r="BP43" s="42"/>
      <c r="BQ43" s="42">
        <v>3719</v>
      </c>
      <c r="BR43" s="42">
        <v>202605</v>
      </c>
      <c r="BS43" s="42">
        <v>202606</v>
      </c>
      <c r="BT43" s="89">
        <v>6254.8</v>
      </c>
      <c r="BU43" s="44">
        <v>136.6</v>
      </c>
      <c r="BV43" s="44">
        <v>6118.2</v>
      </c>
    </row>
    <row r="44" spans="1:74" ht="14.25" customHeight="1">
      <c r="A44" s="42">
        <v>5953155</v>
      </c>
      <c r="B44" s="42">
        <v>7</v>
      </c>
      <c r="C44" s="42">
        <v>20614355221</v>
      </c>
      <c r="D44" s="42" t="s">
        <v>119</v>
      </c>
      <c r="E44" s="42" t="s">
        <v>436</v>
      </c>
      <c r="F44" s="42" t="s">
        <v>715</v>
      </c>
      <c r="G44" s="42" t="s">
        <v>716</v>
      </c>
      <c r="H44" s="42" t="s">
        <v>439</v>
      </c>
      <c r="I44" s="42">
        <v>5812</v>
      </c>
      <c r="J44" s="42" t="s">
        <v>124</v>
      </c>
      <c r="K44" s="42" t="s">
        <v>717</v>
      </c>
      <c r="L44" s="42" t="s">
        <v>718</v>
      </c>
      <c r="M44" s="42" t="s">
        <v>122</v>
      </c>
      <c r="N44" s="42" t="s">
        <v>122</v>
      </c>
      <c r="O44" s="42" t="s">
        <v>443</v>
      </c>
      <c r="P44" s="42" t="s">
        <v>122</v>
      </c>
      <c r="Q44" s="42" t="s">
        <v>719</v>
      </c>
      <c r="R44" s="42">
        <v>20260529</v>
      </c>
      <c r="S44" s="42" t="s">
        <v>116</v>
      </c>
      <c r="T44" s="42" t="s">
        <v>445</v>
      </c>
      <c r="U44" s="42" t="s">
        <v>720</v>
      </c>
      <c r="V44" s="42">
        <v>1.10003670100032E+17</v>
      </c>
      <c r="W44" s="42">
        <v>985215644</v>
      </c>
      <c r="X44" s="42" t="s">
        <v>117</v>
      </c>
      <c r="Y44" s="42" t="s">
        <v>678</v>
      </c>
      <c r="Z44" s="42" t="s">
        <v>446</v>
      </c>
      <c r="AA44" s="42" t="s">
        <v>447</v>
      </c>
      <c r="AB44" s="42" t="s">
        <v>121</v>
      </c>
      <c r="AC44" s="42" t="s">
        <v>221</v>
      </c>
      <c r="AD44" s="42"/>
      <c r="AE44" s="42" t="s">
        <v>148</v>
      </c>
      <c r="AF44" s="42" t="s">
        <v>122</v>
      </c>
      <c r="AG44" s="42">
        <v>1128</v>
      </c>
      <c r="AH44" s="42" t="s">
        <v>448</v>
      </c>
      <c r="AI44" s="42" t="s">
        <v>679</v>
      </c>
      <c r="AJ44" s="42" t="s">
        <v>184</v>
      </c>
      <c r="AK44" s="42" t="s">
        <v>449</v>
      </c>
      <c r="AL44" s="42" t="s">
        <v>121</v>
      </c>
      <c r="AM44" s="42"/>
      <c r="AN44" s="42" t="s">
        <v>122</v>
      </c>
      <c r="AO44" s="42" t="s">
        <v>721</v>
      </c>
      <c r="AP44" s="42"/>
      <c r="AQ44" s="42" t="s">
        <v>449</v>
      </c>
      <c r="AR44" s="42" t="s">
        <v>114</v>
      </c>
      <c r="AS44" s="42" t="s">
        <v>114</v>
      </c>
      <c r="AT44" s="42">
        <v>0</v>
      </c>
      <c r="AU44" s="42">
        <v>0</v>
      </c>
      <c r="AV44" s="42"/>
      <c r="AW44" s="42"/>
      <c r="AX44" s="42" t="s">
        <v>221</v>
      </c>
      <c r="AY44" s="42" t="s">
        <v>451</v>
      </c>
      <c r="AZ44" s="42">
        <v>1</v>
      </c>
      <c r="BA44" s="89">
        <v>19102.75</v>
      </c>
      <c r="BB44" s="89">
        <v>16748.2</v>
      </c>
      <c r="BC44" s="89">
        <v>19102.75</v>
      </c>
      <c r="BD44" s="89">
        <v>16748.2</v>
      </c>
      <c r="BE44" s="89">
        <v>2989.5</v>
      </c>
      <c r="BF44" s="89">
        <v>433.00000000000011</v>
      </c>
      <c r="BG44" s="89">
        <v>2556.5</v>
      </c>
      <c r="BH44" s="125">
        <v>16748.2</v>
      </c>
      <c r="BI44" s="89">
        <v>0.15649579249060999</v>
      </c>
      <c r="BJ44" s="89">
        <v>0.15950967865203419</v>
      </c>
      <c r="BK44" s="89">
        <v>2671.5</v>
      </c>
      <c r="BL44" s="89">
        <v>2671.5</v>
      </c>
      <c r="BM44" s="89">
        <v>2989.5</v>
      </c>
      <c r="BN44" s="89"/>
      <c r="BO44" s="42"/>
      <c r="BP44" s="42"/>
      <c r="BQ44" s="42">
        <v>0</v>
      </c>
      <c r="BR44" s="42">
        <v>202605</v>
      </c>
      <c r="BS44" s="42">
        <v>202606</v>
      </c>
      <c r="BT44" s="89">
        <v>2671.5</v>
      </c>
      <c r="BU44" s="44">
        <v>115</v>
      </c>
      <c r="BV44" s="44">
        <v>2556.5</v>
      </c>
    </row>
    <row r="45" spans="1:74" ht="14.25" customHeight="1">
      <c r="A45" s="42">
        <v>5953142</v>
      </c>
      <c r="B45" s="42">
        <v>1</v>
      </c>
      <c r="C45" s="42">
        <v>20614355221</v>
      </c>
      <c r="D45" s="42" t="s">
        <v>119</v>
      </c>
      <c r="E45" s="42" t="s">
        <v>436</v>
      </c>
      <c r="F45" s="42" t="s">
        <v>715</v>
      </c>
      <c r="G45" s="42" t="s">
        <v>716</v>
      </c>
      <c r="H45" s="42" t="s">
        <v>439</v>
      </c>
      <c r="I45" s="42">
        <v>5812</v>
      </c>
      <c r="J45" s="42" t="s">
        <v>124</v>
      </c>
      <c r="K45" s="42" t="s">
        <v>717</v>
      </c>
      <c r="L45" s="42" t="s">
        <v>718</v>
      </c>
      <c r="M45" s="42" t="s">
        <v>122</v>
      </c>
      <c r="N45" s="42" t="s">
        <v>122</v>
      </c>
      <c r="O45" s="42" t="s">
        <v>443</v>
      </c>
      <c r="P45" s="42" t="s">
        <v>122</v>
      </c>
      <c r="Q45" s="42" t="s">
        <v>719</v>
      </c>
      <c r="R45" s="42">
        <v>20260529</v>
      </c>
      <c r="S45" s="42" t="s">
        <v>116</v>
      </c>
      <c r="T45" s="42" t="s">
        <v>445</v>
      </c>
      <c r="U45" s="42" t="s">
        <v>720</v>
      </c>
      <c r="V45" s="42">
        <v>1.10003670100032E+17</v>
      </c>
      <c r="W45" s="42">
        <v>985215644</v>
      </c>
      <c r="X45" s="42" t="s">
        <v>117</v>
      </c>
      <c r="Y45" s="42" t="s">
        <v>677</v>
      </c>
      <c r="Z45" s="42" t="s">
        <v>446</v>
      </c>
      <c r="AA45" s="42" t="s">
        <v>447</v>
      </c>
      <c r="AB45" s="42" t="s">
        <v>121</v>
      </c>
      <c r="AC45" s="42" t="s">
        <v>221</v>
      </c>
      <c r="AD45" s="42"/>
      <c r="AE45" s="42" t="s">
        <v>148</v>
      </c>
      <c r="AF45" s="42" t="s">
        <v>122</v>
      </c>
      <c r="AG45" s="42">
        <v>1128</v>
      </c>
      <c r="AH45" s="42" t="s">
        <v>448</v>
      </c>
      <c r="AI45" s="42" t="s">
        <v>679</v>
      </c>
      <c r="AJ45" s="42" t="s">
        <v>184</v>
      </c>
      <c r="AK45" s="42" t="s">
        <v>449</v>
      </c>
      <c r="AL45" s="42" t="s">
        <v>121</v>
      </c>
      <c r="AM45" s="42"/>
      <c r="AN45" s="42" t="s">
        <v>122</v>
      </c>
      <c r="AO45" s="42" t="s">
        <v>721</v>
      </c>
      <c r="AP45" s="42"/>
      <c r="AQ45" s="42" t="s">
        <v>449</v>
      </c>
      <c r="AR45" s="42" t="s">
        <v>114</v>
      </c>
      <c r="AS45" s="42" t="s">
        <v>114</v>
      </c>
      <c r="AT45" s="42">
        <v>0</v>
      </c>
      <c r="AU45" s="42">
        <v>0</v>
      </c>
      <c r="AV45" s="42"/>
      <c r="AW45" s="42"/>
      <c r="AX45" s="42" t="s">
        <v>221</v>
      </c>
      <c r="AY45" s="42" t="s">
        <v>451</v>
      </c>
      <c r="AZ45" s="42">
        <v>1</v>
      </c>
      <c r="BA45" s="89">
        <v>19102.75</v>
      </c>
      <c r="BB45" s="89">
        <v>16748.2</v>
      </c>
      <c r="BC45" s="89">
        <v>19102.75</v>
      </c>
      <c r="BD45" s="89">
        <v>16748.2</v>
      </c>
      <c r="BE45" s="89">
        <v>3603.65</v>
      </c>
      <c r="BF45" s="89">
        <v>649.85</v>
      </c>
      <c r="BG45" s="89">
        <v>2953.8</v>
      </c>
      <c r="BH45" s="125">
        <v>16748.2</v>
      </c>
      <c r="BI45" s="89">
        <v>0.18864561385140879</v>
      </c>
      <c r="BJ45" s="89">
        <v>0.1884262189369604</v>
      </c>
      <c r="BK45" s="89">
        <v>3155.8</v>
      </c>
      <c r="BL45" s="89">
        <v>3155.8</v>
      </c>
      <c r="BM45" s="89">
        <v>3603.65</v>
      </c>
      <c r="BN45" s="89"/>
      <c r="BO45" s="42"/>
      <c r="BP45" s="42"/>
      <c r="BQ45" s="42">
        <v>1</v>
      </c>
      <c r="BR45" s="42">
        <v>202605</v>
      </c>
      <c r="BS45" s="42">
        <v>202606</v>
      </c>
      <c r="BT45" s="89">
        <v>3155.8</v>
      </c>
      <c r="BU45" s="44">
        <v>202</v>
      </c>
      <c r="BV45" s="44">
        <v>2953.8</v>
      </c>
    </row>
    <row r="46" spans="1:74" ht="14.25" customHeight="1">
      <c r="A46" s="42">
        <v>5953129</v>
      </c>
      <c r="B46" s="42">
        <v>7</v>
      </c>
      <c r="C46" s="42">
        <v>20614355221</v>
      </c>
      <c r="D46" s="42" t="s">
        <v>119</v>
      </c>
      <c r="E46" s="42" t="s">
        <v>436</v>
      </c>
      <c r="F46" s="42" t="s">
        <v>715</v>
      </c>
      <c r="G46" s="42" t="s">
        <v>716</v>
      </c>
      <c r="H46" s="42" t="s">
        <v>439</v>
      </c>
      <c r="I46" s="42">
        <v>5812</v>
      </c>
      <c r="J46" s="42" t="s">
        <v>124</v>
      </c>
      <c r="K46" s="42" t="s">
        <v>717</v>
      </c>
      <c r="L46" s="42" t="s">
        <v>718</v>
      </c>
      <c r="M46" s="42" t="s">
        <v>122</v>
      </c>
      <c r="N46" s="42" t="s">
        <v>122</v>
      </c>
      <c r="O46" s="42" t="s">
        <v>443</v>
      </c>
      <c r="P46" s="42" t="s">
        <v>122</v>
      </c>
      <c r="Q46" s="42" t="s">
        <v>719</v>
      </c>
      <c r="R46" s="42">
        <v>20260529</v>
      </c>
      <c r="S46" s="42" t="s">
        <v>116</v>
      </c>
      <c r="T46" s="42" t="s">
        <v>445</v>
      </c>
      <c r="U46" s="42" t="s">
        <v>720</v>
      </c>
      <c r="V46" s="42">
        <v>1.10003670100032E+17</v>
      </c>
      <c r="W46" s="42">
        <v>985215644</v>
      </c>
      <c r="X46" s="42" t="s">
        <v>117</v>
      </c>
      <c r="Y46" s="42" t="s">
        <v>676</v>
      </c>
      <c r="Z46" s="42" t="s">
        <v>446</v>
      </c>
      <c r="AA46" s="42" t="s">
        <v>447</v>
      </c>
      <c r="AB46" s="42" t="s">
        <v>121</v>
      </c>
      <c r="AC46" s="42" t="s">
        <v>221</v>
      </c>
      <c r="AD46" s="42"/>
      <c r="AE46" s="42" t="s">
        <v>148</v>
      </c>
      <c r="AF46" s="42" t="s">
        <v>122</v>
      </c>
      <c r="AG46" s="42">
        <v>1128</v>
      </c>
      <c r="AH46" s="42" t="s">
        <v>448</v>
      </c>
      <c r="AI46" s="42" t="s">
        <v>679</v>
      </c>
      <c r="AJ46" s="42" t="s">
        <v>184</v>
      </c>
      <c r="AK46" s="42" t="s">
        <v>449</v>
      </c>
      <c r="AL46" s="42" t="s">
        <v>121</v>
      </c>
      <c r="AM46" s="42"/>
      <c r="AN46" s="42" t="s">
        <v>122</v>
      </c>
      <c r="AO46" s="42" t="s">
        <v>721</v>
      </c>
      <c r="AP46" s="42"/>
      <c r="AQ46" s="42" t="s">
        <v>449</v>
      </c>
      <c r="AR46" s="42" t="s">
        <v>114</v>
      </c>
      <c r="AS46" s="42" t="s">
        <v>114</v>
      </c>
      <c r="AT46" s="42">
        <v>0</v>
      </c>
      <c r="AU46" s="42">
        <v>0</v>
      </c>
      <c r="AV46" s="42"/>
      <c r="AW46" s="42"/>
      <c r="AX46" s="42" t="s">
        <v>221</v>
      </c>
      <c r="AY46" s="42" t="s">
        <v>451</v>
      </c>
      <c r="AZ46" s="42">
        <v>1</v>
      </c>
      <c r="BA46" s="89">
        <v>19102.75</v>
      </c>
      <c r="BB46" s="89">
        <v>16748.2</v>
      </c>
      <c r="BC46" s="89">
        <v>19102.75</v>
      </c>
      <c r="BD46" s="89">
        <v>16748.2</v>
      </c>
      <c r="BE46" s="89">
        <v>0</v>
      </c>
      <c r="BF46" s="89">
        <v>0</v>
      </c>
      <c r="BG46" s="89">
        <v>0</v>
      </c>
      <c r="BH46" s="125">
        <v>16748.2</v>
      </c>
      <c r="BI46" s="89">
        <v>0</v>
      </c>
      <c r="BJ46" s="89">
        <v>0</v>
      </c>
      <c r="BK46" s="89">
        <v>0</v>
      </c>
      <c r="BL46" s="89">
        <v>0</v>
      </c>
      <c r="BM46" s="89">
        <v>0</v>
      </c>
      <c r="BN46" s="89"/>
      <c r="BO46" s="42"/>
      <c r="BP46" s="42"/>
      <c r="BQ46" s="42">
        <v>0</v>
      </c>
      <c r="BR46" s="42">
        <v>202605</v>
      </c>
      <c r="BS46" s="42"/>
      <c r="BT46" s="89" t="s">
        <v>451</v>
      </c>
      <c r="BU46" s="44" t="s">
        <v>451</v>
      </c>
      <c r="BV46" s="108" t="s">
        <v>451</v>
      </c>
    </row>
    <row r="47" spans="1:74" ht="14.25" customHeight="1">
      <c r="A47" s="42">
        <v>1058852</v>
      </c>
      <c r="B47" s="42">
        <v>1</v>
      </c>
      <c r="C47" s="42">
        <v>20613698052</v>
      </c>
      <c r="D47" s="42" t="s">
        <v>119</v>
      </c>
      <c r="E47" s="42" t="s">
        <v>452</v>
      </c>
      <c r="F47" s="42" t="s">
        <v>977</v>
      </c>
      <c r="G47" s="42" t="s">
        <v>977</v>
      </c>
      <c r="H47" s="42" t="s">
        <v>439</v>
      </c>
      <c r="I47" s="42">
        <v>1520</v>
      </c>
      <c r="J47" s="42" t="s">
        <v>463</v>
      </c>
      <c r="K47" s="42" t="s">
        <v>978</v>
      </c>
      <c r="L47" s="42" t="s">
        <v>465</v>
      </c>
      <c r="M47" s="42" t="s">
        <v>122</v>
      </c>
      <c r="N47" s="42" t="s">
        <v>122</v>
      </c>
      <c r="O47" s="42" t="s">
        <v>443</v>
      </c>
      <c r="P47" s="42" t="s">
        <v>122</v>
      </c>
      <c r="Q47" s="42" t="s">
        <v>979</v>
      </c>
      <c r="R47" s="42">
        <v>20260605</v>
      </c>
      <c r="S47" s="42" t="s">
        <v>473</v>
      </c>
      <c r="T47" s="42" t="s">
        <v>445</v>
      </c>
      <c r="U47" s="42" t="s">
        <v>720</v>
      </c>
      <c r="V47" s="42">
        <v>1.1015345010009901E+17</v>
      </c>
      <c r="W47" s="42">
        <v>960846579</v>
      </c>
      <c r="X47" s="42" t="s">
        <v>33</v>
      </c>
      <c r="Y47" s="42" t="s">
        <v>475</v>
      </c>
      <c r="Z47" s="42" t="s">
        <v>446</v>
      </c>
      <c r="AA47" s="42" t="s">
        <v>447</v>
      </c>
      <c r="AB47" s="42" t="s">
        <v>121</v>
      </c>
      <c r="AC47" s="42" t="s">
        <v>175</v>
      </c>
      <c r="AD47" s="42"/>
      <c r="AE47" s="42" t="s">
        <v>148</v>
      </c>
      <c r="AF47" s="42" t="s">
        <v>122</v>
      </c>
      <c r="AG47" s="42">
        <v>1128</v>
      </c>
      <c r="AH47" s="42" t="s">
        <v>448</v>
      </c>
      <c r="AI47" s="42" t="s">
        <v>679</v>
      </c>
      <c r="AJ47" s="42" t="s">
        <v>680</v>
      </c>
      <c r="AK47" s="42" t="s">
        <v>449</v>
      </c>
      <c r="AL47" s="42" t="s">
        <v>121</v>
      </c>
      <c r="AM47" s="42"/>
      <c r="AN47" s="42" t="s">
        <v>122</v>
      </c>
      <c r="AO47" s="42" t="s">
        <v>467</v>
      </c>
      <c r="AP47" s="42"/>
      <c r="AQ47" s="42" t="s">
        <v>449</v>
      </c>
      <c r="AR47" s="42" t="s">
        <v>114</v>
      </c>
      <c r="AS47" s="42" t="s">
        <v>114</v>
      </c>
      <c r="AT47" s="42">
        <v>0</v>
      </c>
      <c r="AU47" s="42">
        <v>0</v>
      </c>
      <c r="AV47" s="42"/>
      <c r="AW47" s="42"/>
      <c r="AX47" s="42"/>
      <c r="AY47" s="42"/>
      <c r="AZ47" s="42">
        <v>1</v>
      </c>
      <c r="BA47" s="89">
        <v>4270.1000000000004</v>
      </c>
      <c r="BB47" s="89">
        <v>4090</v>
      </c>
      <c r="BC47" s="89">
        <v>4270.1000000000004</v>
      </c>
      <c r="BD47" s="89">
        <v>4090</v>
      </c>
      <c r="BE47" s="89">
        <v>4270.1000000000004</v>
      </c>
      <c r="BF47" s="89">
        <v>715</v>
      </c>
      <c r="BG47" s="89">
        <v>3555.1</v>
      </c>
      <c r="BH47" s="125">
        <v>4090</v>
      </c>
      <c r="BI47" s="89">
        <v>1</v>
      </c>
      <c r="BJ47" s="89">
        <v>1</v>
      </c>
      <c r="BK47" s="89">
        <v>4090</v>
      </c>
      <c r="BL47" s="89">
        <v>4090</v>
      </c>
      <c r="BM47" s="89">
        <v>4270.1000000000004</v>
      </c>
      <c r="BN47" s="89"/>
      <c r="BO47" s="42"/>
      <c r="BP47" s="42"/>
      <c r="BQ47" s="42"/>
      <c r="BR47" s="42">
        <v>202606</v>
      </c>
      <c r="BS47" s="42">
        <v>202606</v>
      </c>
      <c r="BT47" s="89">
        <v>4090</v>
      </c>
      <c r="BU47" s="44">
        <v>715</v>
      </c>
      <c r="BV47" s="44">
        <v>3375</v>
      </c>
    </row>
    <row r="48" spans="1:74" ht="14.25" customHeight="1">
      <c r="A48" s="42">
        <v>1059000</v>
      </c>
      <c r="B48" s="42">
        <v>7</v>
      </c>
      <c r="C48" s="42">
        <v>20172065598</v>
      </c>
      <c r="D48" s="42" t="s">
        <v>119</v>
      </c>
      <c r="E48" s="42" t="s">
        <v>436</v>
      </c>
      <c r="F48" s="42" t="s">
        <v>1011</v>
      </c>
      <c r="G48" s="42" t="s">
        <v>783</v>
      </c>
      <c r="H48" s="42" t="s">
        <v>439</v>
      </c>
      <c r="I48" s="42">
        <v>5462</v>
      </c>
      <c r="J48" s="42" t="s">
        <v>635</v>
      </c>
      <c r="K48" s="42" t="s">
        <v>1012</v>
      </c>
      <c r="L48" s="42" t="s">
        <v>1013</v>
      </c>
      <c r="M48" s="42" t="s">
        <v>122</v>
      </c>
      <c r="N48" s="42" t="s">
        <v>122</v>
      </c>
      <c r="O48" s="42" t="s">
        <v>443</v>
      </c>
      <c r="P48" s="42" t="s">
        <v>122</v>
      </c>
      <c r="Q48" s="42" t="s">
        <v>1014</v>
      </c>
      <c r="R48" s="42">
        <v>20260616</v>
      </c>
      <c r="S48" s="42" t="s">
        <v>473</v>
      </c>
      <c r="T48" s="42" t="s">
        <v>445</v>
      </c>
      <c r="U48" s="42" t="s">
        <v>120</v>
      </c>
      <c r="V48" s="42">
        <v>2003008386593</v>
      </c>
      <c r="W48" s="42">
        <v>992823886</v>
      </c>
      <c r="X48" s="42" t="s">
        <v>33</v>
      </c>
      <c r="Y48" s="42" t="s">
        <v>475</v>
      </c>
      <c r="Z48" s="42" t="s">
        <v>446</v>
      </c>
      <c r="AA48" s="42" t="s">
        <v>447</v>
      </c>
      <c r="AB48" s="42" t="s">
        <v>121</v>
      </c>
      <c r="AC48" s="42" t="s">
        <v>200</v>
      </c>
      <c r="AD48" s="42"/>
      <c r="AE48" s="42" t="s">
        <v>148</v>
      </c>
      <c r="AF48" s="42" t="s">
        <v>122</v>
      </c>
      <c r="AG48" s="42">
        <v>1128</v>
      </c>
      <c r="AH48" s="42" t="s">
        <v>448</v>
      </c>
      <c r="AI48" s="42" t="s">
        <v>679</v>
      </c>
      <c r="AJ48" s="42" t="s">
        <v>184</v>
      </c>
      <c r="AK48" s="42" t="s">
        <v>449</v>
      </c>
      <c r="AL48" s="42" t="s">
        <v>121</v>
      </c>
      <c r="AM48" s="42"/>
      <c r="AN48" s="42" t="s">
        <v>122</v>
      </c>
      <c r="AO48" s="42" t="s">
        <v>581</v>
      </c>
      <c r="AP48" s="42"/>
      <c r="AQ48" s="42" t="s">
        <v>449</v>
      </c>
      <c r="AR48" s="42" t="s">
        <v>114</v>
      </c>
      <c r="AS48" s="42" t="s">
        <v>114</v>
      </c>
      <c r="AT48" s="42">
        <v>0</v>
      </c>
      <c r="AU48" s="42">
        <v>0</v>
      </c>
      <c r="AV48" s="42" t="s">
        <v>1015</v>
      </c>
      <c r="AW48" s="42" t="s">
        <v>1016</v>
      </c>
      <c r="AX48" s="42"/>
      <c r="AY48" s="42"/>
      <c r="AZ48" s="42">
        <v>1</v>
      </c>
      <c r="BA48" s="89">
        <v>0</v>
      </c>
      <c r="BB48" s="89">
        <v>0</v>
      </c>
      <c r="BC48" s="89">
        <v>0</v>
      </c>
      <c r="BD48" s="89">
        <v>0</v>
      </c>
      <c r="BE48" s="89">
        <v>0</v>
      </c>
      <c r="BF48" s="89">
        <v>0</v>
      </c>
      <c r="BG48" s="89">
        <v>0</v>
      </c>
      <c r="BH48" s="125">
        <v>0</v>
      </c>
      <c r="BI48" s="89">
        <v>0</v>
      </c>
      <c r="BJ48" s="89">
        <v>0</v>
      </c>
      <c r="BK48" s="89">
        <v>0</v>
      </c>
      <c r="BL48" s="89">
        <v>0</v>
      </c>
      <c r="BM48" s="89">
        <v>0</v>
      </c>
      <c r="BN48" s="89" t="s">
        <v>461</v>
      </c>
      <c r="BO48" s="42" t="s">
        <v>461</v>
      </c>
      <c r="BP48" s="42"/>
      <c r="BQ48" s="42"/>
      <c r="BR48" s="42">
        <v>202606</v>
      </c>
      <c r="BS48" s="42"/>
      <c r="BT48" s="89" t="s">
        <v>451</v>
      </c>
      <c r="BU48" s="44" t="s">
        <v>451</v>
      </c>
      <c r="BV48" s="44" t="s">
        <v>451</v>
      </c>
    </row>
    <row r="49" spans="1:74" ht="14.25" customHeight="1">
      <c r="A49" s="42">
        <v>1058842</v>
      </c>
      <c r="B49" s="42">
        <v>1</v>
      </c>
      <c r="C49" s="42">
        <v>20608926888</v>
      </c>
      <c r="D49" s="42" t="s">
        <v>119</v>
      </c>
      <c r="E49" s="42" t="s">
        <v>452</v>
      </c>
      <c r="F49" s="42" t="s">
        <v>760</v>
      </c>
      <c r="G49" s="42" t="s">
        <v>760</v>
      </c>
      <c r="H49" s="42" t="s">
        <v>439</v>
      </c>
      <c r="I49" s="42">
        <v>1520</v>
      </c>
      <c r="J49" s="42" t="s">
        <v>463</v>
      </c>
      <c r="K49" s="42" t="s">
        <v>973</v>
      </c>
      <c r="L49" s="42" t="s">
        <v>974</v>
      </c>
      <c r="M49" s="42" t="s">
        <v>122</v>
      </c>
      <c r="N49" s="42" t="s">
        <v>122</v>
      </c>
      <c r="O49" s="42" t="s">
        <v>443</v>
      </c>
      <c r="P49" s="42" t="s">
        <v>122</v>
      </c>
      <c r="Q49" s="42" t="s">
        <v>975</v>
      </c>
      <c r="R49" s="42">
        <v>20260604</v>
      </c>
      <c r="S49" s="42" t="s">
        <v>473</v>
      </c>
      <c r="T49" s="42" t="s">
        <v>445</v>
      </c>
      <c r="U49" s="42" t="s">
        <v>720</v>
      </c>
      <c r="V49" s="42">
        <v>1.1016178010004301E+17</v>
      </c>
      <c r="W49" s="42">
        <v>960846579</v>
      </c>
      <c r="X49" s="42" t="s">
        <v>33</v>
      </c>
      <c r="Y49" s="42" t="s">
        <v>475</v>
      </c>
      <c r="Z49" s="42" t="s">
        <v>446</v>
      </c>
      <c r="AA49" s="42" t="s">
        <v>447</v>
      </c>
      <c r="AB49" s="42" t="s">
        <v>121</v>
      </c>
      <c r="AC49" s="42" t="s">
        <v>175</v>
      </c>
      <c r="AD49" s="42"/>
      <c r="AE49" s="42" t="s">
        <v>148</v>
      </c>
      <c r="AF49" s="42" t="s">
        <v>122</v>
      </c>
      <c r="AG49" s="42">
        <v>1128</v>
      </c>
      <c r="AH49" s="42" t="s">
        <v>448</v>
      </c>
      <c r="AI49" s="42" t="s">
        <v>679</v>
      </c>
      <c r="AJ49" s="42" t="s">
        <v>680</v>
      </c>
      <c r="AK49" s="42" t="s">
        <v>449</v>
      </c>
      <c r="AL49" s="42" t="s">
        <v>121</v>
      </c>
      <c r="AM49" s="42"/>
      <c r="AN49" s="42" t="s">
        <v>122</v>
      </c>
      <c r="AO49" s="42" t="s">
        <v>467</v>
      </c>
      <c r="AP49" s="42"/>
      <c r="AQ49" s="42" t="s">
        <v>449</v>
      </c>
      <c r="AR49" s="42" t="s">
        <v>114</v>
      </c>
      <c r="AS49" s="42" t="s">
        <v>114</v>
      </c>
      <c r="AT49" s="42">
        <v>0</v>
      </c>
      <c r="AU49" s="42">
        <v>0</v>
      </c>
      <c r="AV49" s="42" t="s">
        <v>976</v>
      </c>
      <c r="AW49" s="42" t="s">
        <v>976</v>
      </c>
      <c r="AX49" s="42"/>
      <c r="AY49" s="42"/>
      <c r="AZ49" s="42">
        <v>1</v>
      </c>
      <c r="BA49" s="89">
        <v>90184</v>
      </c>
      <c r="BB49" s="89">
        <v>87134</v>
      </c>
      <c r="BC49" s="89">
        <v>90184</v>
      </c>
      <c r="BD49" s="89">
        <v>87134</v>
      </c>
      <c r="BE49" s="89">
        <v>90184</v>
      </c>
      <c r="BF49" s="89">
        <v>15023</v>
      </c>
      <c r="BG49" s="89">
        <v>75161</v>
      </c>
      <c r="BH49" s="125">
        <v>87134</v>
      </c>
      <c r="BI49" s="89">
        <v>1</v>
      </c>
      <c r="BJ49" s="89">
        <v>1</v>
      </c>
      <c r="BK49" s="89">
        <v>87134</v>
      </c>
      <c r="BL49" s="89">
        <v>87134</v>
      </c>
      <c r="BM49" s="89">
        <v>90184</v>
      </c>
      <c r="BN49" s="89" t="s">
        <v>461</v>
      </c>
      <c r="BO49" s="42" t="s">
        <v>461</v>
      </c>
      <c r="BP49" s="42"/>
      <c r="BQ49" s="42"/>
      <c r="BR49" s="42">
        <v>202606</v>
      </c>
      <c r="BS49" s="42">
        <v>202606</v>
      </c>
      <c r="BT49" s="89">
        <v>87134</v>
      </c>
      <c r="BU49" s="44">
        <v>15023</v>
      </c>
      <c r="BV49" s="44">
        <v>72111</v>
      </c>
    </row>
    <row r="50" spans="1:74" ht="14.25" customHeight="1">
      <c r="A50" s="42">
        <v>1059010</v>
      </c>
      <c r="B50" s="42">
        <v>7</v>
      </c>
      <c r="C50" s="42">
        <v>20601315603</v>
      </c>
      <c r="D50" s="42" t="s">
        <v>645</v>
      </c>
      <c r="E50" s="42" t="s">
        <v>452</v>
      </c>
      <c r="F50" s="42" t="s">
        <v>866</v>
      </c>
      <c r="G50" s="42" t="s">
        <v>1001</v>
      </c>
      <c r="H50" s="42" t="s">
        <v>439</v>
      </c>
      <c r="I50" s="42">
        <v>5533</v>
      </c>
      <c r="J50" s="42" t="s">
        <v>583</v>
      </c>
      <c r="K50" s="42" t="s">
        <v>1002</v>
      </c>
      <c r="L50" s="42" t="s">
        <v>1003</v>
      </c>
      <c r="M50" s="42" t="s">
        <v>1004</v>
      </c>
      <c r="N50" s="42" t="s">
        <v>1005</v>
      </c>
      <c r="O50" s="42" t="s">
        <v>1006</v>
      </c>
      <c r="P50" s="42" t="s">
        <v>457</v>
      </c>
      <c r="Q50" s="42" t="s">
        <v>1007</v>
      </c>
      <c r="R50" s="42">
        <v>20260616</v>
      </c>
      <c r="S50" s="42" t="s">
        <v>473</v>
      </c>
      <c r="T50" s="42" t="s">
        <v>445</v>
      </c>
      <c r="U50" s="42" t="s">
        <v>499</v>
      </c>
      <c r="V50" s="42">
        <v>4302263211050</v>
      </c>
      <c r="W50" s="42">
        <v>989033233</v>
      </c>
      <c r="X50" s="42" t="s">
        <v>33</v>
      </c>
      <c r="Y50" s="42" t="s">
        <v>475</v>
      </c>
      <c r="Z50" s="42" t="s">
        <v>446</v>
      </c>
      <c r="AA50" s="42" t="s">
        <v>447</v>
      </c>
      <c r="AB50" s="42" t="s">
        <v>121</v>
      </c>
      <c r="AC50" s="42" t="s">
        <v>297</v>
      </c>
      <c r="AD50" s="42"/>
      <c r="AE50" s="42" t="s">
        <v>148</v>
      </c>
      <c r="AF50" s="42" t="s">
        <v>122</v>
      </c>
      <c r="AG50" s="42">
        <v>1128</v>
      </c>
      <c r="AH50" s="42" t="s">
        <v>448</v>
      </c>
      <c r="AI50" s="42" t="s">
        <v>679</v>
      </c>
      <c r="AJ50" s="42" t="s">
        <v>680</v>
      </c>
      <c r="AK50" s="42" t="s">
        <v>449</v>
      </c>
      <c r="AL50" s="42" t="s">
        <v>121</v>
      </c>
      <c r="AM50" s="42"/>
      <c r="AN50" s="42" t="s">
        <v>122</v>
      </c>
      <c r="AO50" s="42" t="s">
        <v>1008</v>
      </c>
      <c r="AP50" s="42"/>
      <c r="AQ50" s="42" t="s">
        <v>449</v>
      </c>
      <c r="AR50" s="42" t="s">
        <v>114</v>
      </c>
      <c r="AS50" s="42" t="s">
        <v>114</v>
      </c>
      <c r="AT50" s="42">
        <v>129882.91</v>
      </c>
      <c r="AU50" s="42">
        <v>129882.91</v>
      </c>
      <c r="AV50" s="42" t="s">
        <v>1009</v>
      </c>
      <c r="AW50" s="42" t="s">
        <v>1010</v>
      </c>
      <c r="AX50" s="42"/>
      <c r="AY50" s="42"/>
      <c r="AZ50" s="42">
        <v>1</v>
      </c>
      <c r="BA50" s="89">
        <v>67071.070000000007</v>
      </c>
      <c r="BB50" s="89">
        <v>67071.069999999992</v>
      </c>
      <c r="BC50" s="89">
        <v>0</v>
      </c>
      <c r="BD50" s="89">
        <v>0</v>
      </c>
      <c r="BE50" s="89">
        <v>0</v>
      </c>
      <c r="BF50" s="89">
        <v>0</v>
      </c>
      <c r="BG50" s="89">
        <v>0</v>
      </c>
      <c r="BH50" s="125">
        <v>0</v>
      </c>
      <c r="BI50" s="89">
        <v>0</v>
      </c>
      <c r="BJ50" s="89">
        <v>0</v>
      </c>
      <c r="BK50" s="89">
        <v>0</v>
      </c>
      <c r="BL50" s="89">
        <v>0</v>
      </c>
      <c r="BM50" s="89">
        <v>0</v>
      </c>
      <c r="BN50" s="89" t="s">
        <v>461</v>
      </c>
      <c r="BO50" s="42" t="s">
        <v>461</v>
      </c>
      <c r="BP50" s="42"/>
      <c r="BQ50" s="42"/>
      <c r="BR50" s="42">
        <v>202606</v>
      </c>
      <c r="BS50" s="42"/>
      <c r="BT50" s="89" t="s">
        <v>451</v>
      </c>
      <c r="BU50" s="44" t="s">
        <v>451</v>
      </c>
      <c r="BV50" s="44" t="s">
        <v>451</v>
      </c>
    </row>
    <row r="51" spans="1:74" ht="14.25" customHeight="1">
      <c r="A51" s="42">
        <v>1058952</v>
      </c>
      <c r="B51" s="42">
        <v>7</v>
      </c>
      <c r="C51" s="42">
        <v>20172065598</v>
      </c>
      <c r="D51" s="42" t="s">
        <v>119</v>
      </c>
      <c r="E51" s="42" t="s">
        <v>436</v>
      </c>
      <c r="F51" s="42" t="s">
        <v>1011</v>
      </c>
      <c r="G51" s="42" t="s">
        <v>783</v>
      </c>
      <c r="H51" s="42" t="s">
        <v>439</v>
      </c>
      <c r="I51" s="42">
        <v>5462</v>
      </c>
      <c r="J51" s="42" t="s">
        <v>635</v>
      </c>
      <c r="K51" s="42" t="s">
        <v>1021</v>
      </c>
      <c r="L51" s="42" t="s">
        <v>507</v>
      </c>
      <c r="M51" s="42" t="s">
        <v>122</v>
      </c>
      <c r="N51" s="42" t="s">
        <v>122</v>
      </c>
      <c r="O51" s="42" t="s">
        <v>443</v>
      </c>
      <c r="P51" s="42" t="s">
        <v>122</v>
      </c>
      <c r="Q51" s="42" t="s">
        <v>1022</v>
      </c>
      <c r="R51" s="42">
        <v>20260610</v>
      </c>
      <c r="S51" s="42" t="s">
        <v>473</v>
      </c>
      <c r="T51" s="42" t="s">
        <v>445</v>
      </c>
      <c r="U51" s="42" t="s">
        <v>720</v>
      </c>
      <c r="V51" s="42">
        <v>1.10518870100024E+17</v>
      </c>
      <c r="W51" s="42">
        <v>992823886</v>
      </c>
      <c r="X51" s="42" t="s">
        <v>33</v>
      </c>
      <c r="Y51" s="42" t="s">
        <v>475</v>
      </c>
      <c r="Z51" s="42" t="s">
        <v>446</v>
      </c>
      <c r="AA51" s="42" t="s">
        <v>447</v>
      </c>
      <c r="AB51" s="42" t="s">
        <v>121</v>
      </c>
      <c r="AC51" s="42" t="s">
        <v>200</v>
      </c>
      <c r="AD51" s="42"/>
      <c r="AE51" s="42" t="s">
        <v>148</v>
      </c>
      <c r="AF51" s="42" t="s">
        <v>122</v>
      </c>
      <c r="AG51" s="42">
        <v>1128</v>
      </c>
      <c r="AH51" s="42" t="s">
        <v>448</v>
      </c>
      <c r="AI51" s="42" t="s">
        <v>679</v>
      </c>
      <c r="AJ51" s="42" t="s">
        <v>184</v>
      </c>
      <c r="AK51" s="42" t="s">
        <v>449</v>
      </c>
      <c r="AL51" s="42" t="s">
        <v>121</v>
      </c>
      <c r="AM51" s="42"/>
      <c r="AN51" s="42" t="s">
        <v>122</v>
      </c>
      <c r="AO51" s="42" t="s">
        <v>581</v>
      </c>
      <c r="AP51" s="42"/>
      <c r="AQ51" s="42" t="s">
        <v>449</v>
      </c>
      <c r="AR51" s="42" t="s">
        <v>114</v>
      </c>
      <c r="AS51" s="42" t="s">
        <v>114</v>
      </c>
      <c r="AT51" s="42">
        <v>0</v>
      </c>
      <c r="AU51" s="42">
        <v>0</v>
      </c>
      <c r="AV51" s="42" t="s">
        <v>1015</v>
      </c>
      <c r="AW51" s="42" t="s">
        <v>1016</v>
      </c>
      <c r="AX51" s="42"/>
      <c r="AY51" s="42"/>
      <c r="AZ51" s="42">
        <v>1</v>
      </c>
      <c r="BA51" s="89">
        <v>0</v>
      </c>
      <c r="BB51" s="89">
        <v>0</v>
      </c>
      <c r="BC51" s="89">
        <v>0</v>
      </c>
      <c r="BD51" s="89">
        <v>0</v>
      </c>
      <c r="BE51" s="89">
        <v>0</v>
      </c>
      <c r="BF51" s="89">
        <v>0</v>
      </c>
      <c r="BG51" s="89">
        <v>0</v>
      </c>
      <c r="BH51" s="125">
        <v>0</v>
      </c>
      <c r="BI51" s="89">
        <v>0</v>
      </c>
      <c r="BJ51" s="89">
        <v>0</v>
      </c>
      <c r="BK51" s="89">
        <v>0</v>
      </c>
      <c r="BL51" s="89">
        <v>0</v>
      </c>
      <c r="BM51" s="89">
        <v>0</v>
      </c>
      <c r="BN51" s="89" t="s">
        <v>461</v>
      </c>
      <c r="BO51" s="42" t="s">
        <v>461</v>
      </c>
      <c r="BP51" s="42"/>
      <c r="BQ51" s="42"/>
      <c r="BR51" s="42">
        <v>202606</v>
      </c>
      <c r="BS51" s="42"/>
      <c r="BT51" s="89" t="s">
        <v>451</v>
      </c>
      <c r="BU51" s="44" t="s">
        <v>451</v>
      </c>
      <c r="BV51" s="44" t="s">
        <v>451</v>
      </c>
    </row>
    <row r="52" spans="1:74" ht="14.25" customHeight="1">
      <c r="A52" s="42">
        <v>1058976</v>
      </c>
      <c r="B52" s="42">
        <v>7</v>
      </c>
      <c r="C52" s="42">
        <v>20609006405</v>
      </c>
      <c r="D52" s="42" t="s">
        <v>119</v>
      </c>
      <c r="E52" s="42" t="s">
        <v>452</v>
      </c>
      <c r="F52" s="42" t="s">
        <v>762</v>
      </c>
      <c r="G52" s="42" t="s">
        <v>762</v>
      </c>
      <c r="H52" s="42" t="s">
        <v>439</v>
      </c>
      <c r="I52" s="42">
        <v>1520</v>
      </c>
      <c r="J52" s="42" t="s">
        <v>463</v>
      </c>
      <c r="K52" s="42" t="s">
        <v>978</v>
      </c>
      <c r="L52" s="42" t="s">
        <v>465</v>
      </c>
      <c r="M52" s="42" t="s">
        <v>122</v>
      </c>
      <c r="N52" s="42" t="s">
        <v>122</v>
      </c>
      <c r="O52" s="42" t="s">
        <v>443</v>
      </c>
      <c r="P52" s="42" t="s">
        <v>122</v>
      </c>
      <c r="Q52" s="42" t="s">
        <v>999</v>
      </c>
      <c r="R52" s="42">
        <v>20260612</v>
      </c>
      <c r="S52" s="42" t="s">
        <v>473</v>
      </c>
      <c r="T52" s="42" t="s">
        <v>445</v>
      </c>
      <c r="U52" s="42" t="s">
        <v>720</v>
      </c>
      <c r="V52" s="42">
        <v>1.1016177010004301E+17</v>
      </c>
      <c r="W52" s="42">
        <v>960846579</v>
      </c>
      <c r="X52" s="42" t="s">
        <v>33</v>
      </c>
      <c r="Y52" s="42" t="s">
        <v>475</v>
      </c>
      <c r="Z52" s="42" t="s">
        <v>446</v>
      </c>
      <c r="AA52" s="42" t="s">
        <v>447</v>
      </c>
      <c r="AB52" s="42" t="s">
        <v>121</v>
      </c>
      <c r="AC52" s="42" t="s">
        <v>175</v>
      </c>
      <c r="AD52" s="42"/>
      <c r="AE52" s="42" t="s">
        <v>148</v>
      </c>
      <c r="AF52" s="42" t="s">
        <v>122</v>
      </c>
      <c r="AG52" s="42">
        <v>1128</v>
      </c>
      <c r="AH52" s="42" t="s">
        <v>448</v>
      </c>
      <c r="AI52" s="42" t="s">
        <v>679</v>
      </c>
      <c r="AJ52" s="42" t="s">
        <v>680</v>
      </c>
      <c r="AK52" s="42" t="s">
        <v>449</v>
      </c>
      <c r="AL52" s="42" t="s">
        <v>121</v>
      </c>
      <c r="AM52" s="42"/>
      <c r="AN52" s="42" t="s">
        <v>122</v>
      </c>
      <c r="AO52" s="42" t="s">
        <v>467</v>
      </c>
      <c r="AP52" s="42"/>
      <c r="AQ52" s="42" t="s">
        <v>449</v>
      </c>
      <c r="AR52" s="42" t="s">
        <v>114</v>
      </c>
      <c r="AS52" s="42" t="s">
        <v>114</v>
      </c>
      <c r="AT52" s="42">
        <v>0</v>
      </c>
      <c r="AU52" s="42">
        <v>0</v>
      </c>
      <c r="AV52" s="42" t="s">
        <v>1000</v>
      </c>
      <c r="AW52" s="42" t="s">
        <v>1000</v>
      </c>
      <c r="AX52" s="42"/>
      <c r="AY52" s="42"/>
      <c r="AZ52" s="42">
        <v>1</v>
      </c>
      <c r="BA52" s="89">
        <v>0</v>
      </c>
      <c r="BB52" s="89">
        <v>0</v>
      </c>
      <c r="BC52" s="89">
        <v>0</v>
      </c>
      <c r="BD52" s="89">
        <v>0</v>
      </c>
      <c r="BE52" s="89">
        <v>0</v>
      </c>
      <c r="BF52" s="89">
        <v>0</v>
      </c>
      <c r="BG52" s="89">
        <v>0</v>
      </c>
      <c r="BH52" s="125">
        <v>0</v>
      </c>
      <c r="BI52" s="89">
        <v>0</v>
      </c>
      <c r="BJ52" s="89">
        <v>0</v>
      </c>
      <c r="BK52" s="89">
        <v>0</v>
      </c>
      <c r="BL52" s="89">
        <v>0</v>
      </c>
      <c r="BM52" s="89">
        <v>0</v>
      </c>
      <c r="BN52" s="89" t="s">
        <v>461</v>
      </c>
      <c r="BO52" s="42" t="s">
        <v>461</v>
      </c>
      <c r="BP52" s="42"/>
      <c r="BQ52" s="42"/>
      <c r="BR52" s="42">
        <v>202606</v>
      </c>
      <c r="BS52" s="42"/>
      <c r="BT52" s="89" t="s">
        <v>451</v>
      </c>
      <c r="BU52" s="44" t="s">
        <v>451</v>
      </c>
      <c r="BV52" s="44" t="s">
        <v>451</v>
      </c>
    </row>
    <row r="53" spans="1:74" ht="14.25" customHeight="1">
      <c r="A53" s="42">
        <v>1059001</v>
      </c>
      <c r="B53" s="42">
        <v>7</v>
      </c>
      <c r="C53" s="42">
        <v>20488026641</v>
      </c>
      <c r="D53" s="42" t="s">
        <v>119</v>
      </c>
      <c r="E53" s="42" t="s">
        <v>983</v>
      </c>
      <c r="F53" s="42" t="s">
        <v>730</v>
      </c>
      <c r="G53" s="42" t="s">
        <v>1149</v>
      </c>
      <c r="H53" s="42" t="s">
        <v>439</v>
      </c>
      <c r="I53" s="42">
        <v>5039</v>
      </c>
      <c r="J53" s="42" t="s">
        <v>1017</v>
      </c>
      <c r="K53" s="42" t="s">
        <v>1018</v>
      </c>
      <c r="L53" s="42" t="s">
        <v>602</v>
      </c>
      <c r="M53" s="42" t="s">
        <v>240</v>
      </c>
      <c r="N53" s="42" t="s">
        <v>542</v>
      </c>
      <c r="O53" s="42" t="s">
        <v>240</v>
      </c>
      <c r="P53" s="42" t="s">
        <v>457</v>
      </c>
      <c r="Q53" s="42"/>
      <c r="R53" s="42">
        <v>20260616</v>
      </c>
      <c r="S53" s="42" t="s">
        <v>473</v>
      </c>
      <c r="T53" s="42" t="s">
        <v>445</v>
      </c>
      <c r="U53" s="42" t="s">
        <v>120</v>
      </c>
      <c r="V53" s="42">
        <v>7003006419520</v>
      </c>
      <c r="W53" s="42">
        <v>983921148</v>
      </c>
      <c r="X53" s="42" t="s">
        <v>33</v>
      </c>
      <c r="Y53" s="42" t="s">
        <v>475</v>
      </c>
      <c r="Z53" s="42" t="s">
        <v>446</v>
      </c>
      <c r="AA53" s="42" t="s">
        <v>447</v>
      </c>
      <c r="AB53" s="42" t="s">
        <v>121</v>
      </c>
      <c r="AC53" s="42" t="s">
        <v>268</v>
      </c>
      <c r="AD53" s="42"/>
      <c r="AE53" s="42" t="s">
        <v>148</v>
      </c>
      <c r="AF53" s="42" t="s">
        <v>240</v>
      </c>
      <c r="AG53" s="42">
        <v>1128</v>
      </c>
      <c r="AH53" s="42" t="s">
        <v>448</v>
      </c>
      <c r="AI53" s="42" t="s">
        <v>679</v>
      </c>
      <c r="AJ53" s="42" t="s">
        <v>184</v>
      </c>
      <c r="AK53" s="42" t="s">
        <v>449</v>
      </c>
      <c r="AL53" s="42" t="s">
        <v>121</v>
      </c>
      <c r="AM53" s="42"/>
      <c r="AN53" s="42" t="s">
        <v>122</v>
      </c>
      <c r="AO53" s="42" t="s">
        <v>598</v>
      </c>
      <c r="AP53" s="42"/>
      <c r="AQ53" s="42" t="s">
        <v>449</v>
      </c>
      <c r="AR53" s="42" t="s">
        <v>114</v>
      </c>
      <c r="AS53" s="42" t="s">
        <v>114</v>
      </c>
      <c r="AT53" s="42">
        <v>0</v>
      </c>
      <c r="AU53" s="42">
        <v>0</v>
      </c>
      <c r="AV53" s="42" t="s">
        <v>1019</v>
      </c>
      <c r="AW53" s="42" t="s">
        <v>1020</v>
      </c>
      <c r="AX53" s="42"/>
      <c r="AY53" s="42"/>
      <c r="AZ53" s="42">
        <v>1</v>
      </c>
      <c r="BA53" s="89">
        <v>0</v>
      </c>
      <c r="BB53" s="89">
        <v>0</v>
      </c>
      <c r="BC53" s="89">
        <v>0</v>
      </c>
      <c r="BD53" s="89">
        <v>0</v>
      </c>
      <c r="BE53" s="89">
        <v>0</v>
      </c>
      <c r="BF53" s="89">
        <v>0</v>
      </c>
      <c r="BG53" s="89">
        <v>0</v>
      </c>
      <c r="BH53" s="125">
        <v>0</v>
      </c>
      <c r="BI53" s="89">
        <v>0</v>
      </c>
      <c r="BJ53" s="89">
        <v>0</v>
      </c>
      <c r="BK53" s="89">
        <v>0</v>
      </c>
      <c r="BL53" s="89">
        <v>0</v>
      </c>
      <c r="BM53" s="89">
        <v>0</v>
      </c>
      <c r="BN53" s="89" t="s">
        <v>991</v>
      </c>
      <c r="BO53" s="42" t="s">
        <v>991</v>
      </c>
      <c r="BP53" s="42"/>
      <c r="BQ53" s="42"/>
      <c r="BR53" s="42">
        <v>202606</v>
      </c>
      <c r="BS53" s="42"/>
      <c r="BT53" s="89" t="s">
        <v>451</v>
      </c>
      <c r="BU53" s="44" t="s">
        <v>451</v>
      </c>
      <c r="BV53" s="44" t="s">
        <v>451</v>
      </c>
    </row>
    <row r="54" spans="1:74" ht="14.25" customHeight="1">
      <c r="A54" s="42">
        <v>1058873</v>
      </c>
      <c r="B54" s="42">
        <v>7</v>
      </c>
      <c r="C54" s="42">
        <v>20319956043</v>
      </c>
      <c r="D54" s="42" t="s">
        <v>119</v>
      </c>
      <c r="E54" s="42" t="s">
        <v>983</v>
      </c>
      <c r="F54" s="42" t="s">
        <v>560</v>
      </c>
      <c r="G54" s="42" t="s">
        <v>559</v>
      </c>
      <c r="H54" s="42" t="s">
        <v>439</v>
      </c>
      <c r="I54" s="42">
        <v>8220</v>
      </c>
      <c r="J54" s="42" t="s">
        <v>984</v>
      </c>
      <c r="K54" s="42" t="s">
        <v>985</v>
      </c>
      <c r="L54" s="42" t="s">
        <v>986</v>
      </c>
      <c r="M54" s="42" t="s">
        <v>987</v>
      </c>
      <c r="N54" s="42" t="s">
        <v>456</v>
      </c>
      <c r="O54" s="42" t="s">
        <v>292</v>
      </c>
      <c r="P54" s="42" t="s">
        <v>457</v>
      </c>
      <c r="Q54" s="42" t="s">
        <v>988</v>
      </c>
      <c r="R54" s="42">
        <v>20260605</v>
      </c>
      <c r="S54" s="42" t="s">
        <v>473</v>
      </c>
      <c r="T54" s="42" t="s">
        <v>445</v>
      </c>
      <c r="U54" s="42" t="s">
        <v>120</v>
      </c>
      <c r="V54" s="42">
        <v>2003003065861</v>
      </c>
      <c r="W54" s="42">
        <v>922023597</v>
      </c>
      <c r="X54" s="42" t="s">
        <v>33</v>
      </c>
      <c r="Y54" s="42" t="s">
        <v>475</v>
      </c>
      <c r="Z54" s="42" t="s">
        <v>446</v>
      </c>
      <c r="AA54" s="42" t="s">
        <v>447</v>
      </c>
      <c r="AB54" s="42" t="s">
        <v>121</v>
      </c>
      <c r="AC54" s="42" t="s">
        <v>244</v>
      </c>
      <c r="AD54" s="42"/>
      <c r="AE54" s="42" t="s">
        <v>148</v>
      </c>
      <c r="AF54" s="42" t="s">
        <v>986</v>
      </c>
      <c r="AG54" s="42">
        <v>1128</v>
      </c>
      <c r="AH54" s="42" t="s">
        <v>448</v>
      </c>
      <c r="AI54" s="42" t="s">
        <v>679</v>
      </c>
      <c r="AJ54" s="42" t="s">
        <v>680</v>
      </c>
      <c r="AK54" s="42" t="s">
        <v>449</v>
      </c>
      <c r="AL54" s="42" t="s">
        <v>121</v>
      </c>
      <c r="AM54" s="42"/>
      <c r="AN54" s="42" t="s">
        <v>122</v>
      </c>
      <c r="AO54" s="42" t="s">
        <v>544</v>
      </c>
      <c r="AP54" s="42"/>
      <c r="AQ54" s="42" t="s">
        <v>449</v>
      </c>
      <c r="AR54" s="42" t="s">
        <v>114</v>
      </c>
      <c r="AS54" s="42" t="s">
        <v>114</v>
      </c>
      <c r="AT54" s="42">
        <v>0</v>
      </c>
      <c r="AU54" s="42">
        <v>0</v>
      </c>
      <c r="AV54" s="42" t="s">
        <v>989</v>
      </c>
      <c r="AW54" s="42" t="s">
        <v>990</v>
      </c>
      <c r="AX54" s="42"/>
      <c r="AY54" s="42"/>
      <c r="AZ54" s="42">
        <v>1</v>
      </c>
      <c r="BA54" s="89">
        <v>0</v>
      </c>
      <c r="BB54" s="89">
        <v>0</v>
      </c>
      <c r="BC54" s="89">
        <v>0</v>
      </c>
      <c r="BD54" s="89">
        <v>0</v>
      </c>
      <c r="BE54" s="89">
        <v>0</v>
      </c>
      <c r="BF54" s="89">
        <v>0</v>
      </c>
      <c r="BG54" s="89">
        <v>0</v>
      </c>
      <c r="BH54" s="125">
        <v>0</v>
      </c>
      <c r="BI54" s="89">
        <v>0</v>
      </c>
      <c r="BJ54" s="89">
        <v>0</v>
      </c>
      <c r="BK54" s="89">
        <v>0</v>
      </c>
      <c r="BL54" s="89">
        <v>0</v>
      </c>
      <c r="BM54" s="89">
        <v>0</v>
      </c>
      <c r="BN54" s="89" t="s">
        <v>991</v>
      </c>
      <c r="BO54" s="42" t="s">
        <v>991</v>
      </c>
      <c r="BP54" s="42"/>
      <c r="BQ54" s="42"/>
      <c r="BR54" s="42">
        <v>202606</v>
      </c>
      <c r="BS54" s="42"/>
      <c r="BT54" s="89" t="s">
        <v>451</v>
      </c>
      <c r="BU54" s="44" t="s">
        <v>451</v>
      </c>
      <c r="BV54" s="44" t="s">
        <v>451</v>
      </c>
    </row>
    <row r="55" spans="1:74" ht="14.25" customHeight="1">
      <c r="A55" s="42">
        <v>1058934</v>
      </c>
      <c r="B55" s="42">
        <v>7</v>
      </c>
      <c r="C55" s="42">
        <v>20614387654</v>
      </c>
      <c r="D55" s="42" t="s">
        <v>119</v>
      </c>
      <c r="E55" s="42" t="s">
        <v>452</v>
      </c>
      <c r="F55" s="42" t="s">
        <v>736</v>
      </c>
      <c r="G55" s="42" t="s">
        <v>736</v>
      </c>
      <c r="H55" s="42" t="s">
        <v>439</v>
      </c>
      <c r="I55" s="42">
        <v>4722</v>
      </c>
      <c r="J55" s="42" t="s">
        <v>992</v>
      </c>
      <c r="K55" s="42" t="s">
        <v>993</v>
      </c>
      <c r="L55" s="42" t="s">
        <v>507</v>
      </c>
      <c r="M55" s="42" t="s">
        <v>122</v>
      </c>
      <c r="N55" s="42" t="s">
        <v>122</v>
      </c>
      <c r="O55" s="42" t="s">
        <v>443</v>
      </c>
      <c r="P55" s="42" t="s">
        <v>122</v>
      </c>
      <c r="Q55" s="42" t="s">
        <v>994</v>
      </c>
      <c r="R55" s="42">
        <v>20260609</v>
      </c>
      <c r="S55" s="42" t="s">
        <v>473</v>
      </c>
      <c r="T55" s="42" t="s">
        <v>445</v>
      </c>
      <c r="U55" s="42" t="s">
        <v>120</v>
      </c>
      <c r="V55" s="42">
        <v>2003008394553</v>
      </c>
      <c r="W55" s="42">
        <v>999337345</v>
      </c>
      <c r="X55" s="42" t="s">
        <v>33</v>
      </c>
      <c r="Y55" s="42" t="s">
        <v>475</v>
      </c>
      <c r="Z55" s="42" t="s">
        <v>446</v>
      </c>
      <c r="AA55" s="42" t="s">
        <v>447</v>
      </c>
      <c r="AB55" s="42" t="s">
        <v>121</v>
      </c>
      <c r="AC55" s="42" t="s">
        <v>287</v>
      </c>
      <c r="AD55" s="42"/>
      <c r="AE55" s="42" t="s">
        <v>148</v>
      </c>
      <c r="AF55" s="42" t="s">
        <v>122</v>
      </c>
      <c r="AG55" s="42">
        <v>1128</v>
      </c>
      <c r="AH55" s="42" t="s">
        <v>448</v>
      </c>
      <c r="AI55" s="42" t="s">
        <v>679</v>
      </c>
      <c r="AJ55" s="42" t="s">
        <v>184</v>
      </c>
      <c r="AK55" s="42" t="s">
        <v>449</v>
      </c>
      <c r="AL55" s="42" t="s">
        <v>121</v>
      </c>
      <c r="AM55" s="42"/>
      <c r="AN55" s="42" t="s">
        <v>122</v>
      </c>
      <c r="AO55" s="42" t="s">
        <v>995</v>
      </c>
      <c r="AP55" s="42"/>
      <c r="AQ55" s="42" t="s">
        <v>449</v>
      </c>
      <c r="AR55" s="42" t="s">
        <v>114</v>
      </c>
      <c r="AS55" s="42" t="s">
        <v>114</v>
      </c>
      <c r="AT55" s="42">
        <v>0</v>
      </c>
      <c r="AU55" s="42">
        <v>0</v>
      </c>
      <c r="AV55" s="42" t="s">
        <v>996</v>
      </c>
      <c r="AW55" s="42" t="s">
        <v>997</v>
      </c>
      <c r="AX55" s="42"/>
      <c r="AY55" s="42"/>
      <c r="AZ55" s="42">
        <v>1</v>
      </c>
      <c r="BA55" s="89">
        <v>0</v>
      </c>
      <c r="BB55" s="89">
        <v>0</v>
      </c>
      <c r="BC55" s="89">
        <v>0</v>
      </c>
      <c r="BD55" s="89">
        <v>0</v>
      </c>
      <c r="BE55" s="89">
        <v>0</v>
      </c>
      <c r="BF55" s="89">
        <v>0</v>
      </c>
      <c r="BG55" s="89">
        <v>0</v>
      </c>
      <c r="BH55" s="125">
        <v>0</v>
      </c>
      <c r="BI55" s="89">
        <v>0</v>
      </c>
      <c r="BJ55" s="89">
        <v>0</v>
      </c>
      <c r="BK55" s="89">
        <v>0</v>
      </c>
      <c r="BL55" s="89">
        <v>0</v>
      </c>
      <c r="BM55" s="89">
        <v>0</v>
      </c>
      <c r="BN55" s="89" t="s">
        <v>461</v>
      </c>
      <c r="BO55" s="42" t="s">
        <v>461</v>
      </c>
      <c r="BP55" s="42"/>
      <c r="BQ55" s="42"/>
      <c r="BR55" s="42">
        <v>202606</v>
      </c>
      <c r="BS55" s="42"/>
      <c r="BT55" s="89" t="s">
        <v>451</v>
      </c>
      <c r="BU55" s="44" t="s">
        <v>451</v>
      </c>
      <c r="BV55" s="44" t="s">
        <v>451</v>
      </c>
    </row>
    <row r="56" spans="1:74" ht="14.25" customHeight="1">
      <c r="A56" s="42">
        <v>1058974</v>
      </c>
      <c r="B56" s="42">
        <v>1</v>
      </c>
      <c r="C56" s="42">
        <v>20612784796</v>
      </c>
      <c r="D56" s="42" t="s">
        <v>119</v>
      </c>
      <c r="E56" s="42" t="s">
        <v>452</v>
      </c>
      <c r="F56" s="42" t="s">
        <v>761</v>
      </c>
      <c r="G56" s="42" t="s">
        <v>998</v>
      </c>
      <c r="H56" s="42" t="s">
        <v>439</v>
      </c>
      <c r="I56" s="42">
        <v>1520</v>
      </c>
      <c r="J56" s="42" t="s">
        <v>463</v>
      </c>
      <c r="K56" s="42" t="s">
        <v>978</v>
      </c>
      <c r="L56" s="42" t="s">
        <v>465</v>
      </c>
      <c r="M56" s="42" t="s">
        <v>122</v>
      </c>
      <c r="N56" s="42" t="s">
        <v>122</v>
      </c>
      <c r="O56" s="42" t="s">
        <v>443</v>
      </c>
      <c r="P56" s="42" t="s">
        <v>122</v>
      </c>
      <c r="Q56" s="42" t="s">
        <v>979</v>
      </c>
      <c r="R56" s="42">
        <v>20260612</v>
      </c>
      <c r="S56" s="42" t="s">
        <v>473</v>
      </c>
      <c r="T56" s="42" t="s">
        <v>445</v>
      </c>
      <c r="U56" s="42" t="s">
        <v>720</v>
      </c>
      <c r="V56" s="42">
        <v>1.1016177010004701E+17</v>
      </c>
      <c r="W56" s="42">
        <v>960846579</v>
      </c>
      <c r="X56" s="42" t="s">
        <v>33</v>
      </c>
      <c r="Y56" s="42" t="s">
        <v>475</v>
      </c>
      <c r="Z56" s="42" t="s">
        <v>446</v>
      </c>
      <c r="AA56" s="42" t="s">
        <v>447</v>
      </c>
      <c r="AB56" s="42" t="s">
        <v>121</v>
      </c>
      <c r="AC56" s="42" t="s">
        <v>175</v>
      </c>
      <c r="AD56" s="42"/>
      <c r="AE56" s="42" t="s">
        <v>148</v>
      </c>
      <c r="AF56" s="42" t="s">
        <v>122</v>
      </c>
      <c r="AG56" s="42">
        <v>1128</v>
      </c>
      <c r="AH56" s="42" t="s">
        <v>448</v>
      </c>
      <c r="AI56" s="42" t="s">
        <v>679</v>
      </c>
      <c r="AJ56" s="42" t="s">
        <v>680</v>
      </c>
      <c r="AK56" s="42" t="s">
        <v>449</v>
      </c>
      <c r="AL56" s="42" t="s">
        <v>121</v>
      </c>
      <c r="AM56" s="42"/>
      <c r="AN56" s="42" t="s">
        <v>122</v>
      </c>
      <c r="AO56" s="42" t="s">
        <v>467</v>
      </c>
      <c r="AP56" s="42"/>
      <c r="AQ56" s="42" t="s">
        <v>449</v>
      </c>
      <c r="AR56" s="42" t="s">
        <v>114</v>
      </c>
      <c r="AS56" s="42" t="s">
        <v>114</v>
      </c>
      <c r="AT56" s="42">
        <v>0</v>
      </c>
      <c r="AU56" s="42">
        <v>0</v>
      </c>
      <c r="AV56" s="42"/>
      <c r="AW56" s="42"/>
      <c r="AX56" s="42"/>
      <c r="AY56" s="42"/>
      <c r="AZ56" s="42">
        <v>1</v>
      </c>
      <c r="BA56" s="89">
        <v>4356.3</v>
      </c>
      <c r="BB56" s="89">
        <v>4310.4000000000005</v>
      </c>
      <c r="BC56" s="89">
        <v>4356.3</v>
      </c>
      <c r="BD56" s="89">
        <v>4310.4000000000005</v>
      </c>
      <c r="BE56" s="89">
        <v>4356.3</v>
      </c>
      <c r="BF56" s="89">
        <v>380.9</v>
      </c>
      <c r="BG56" s="89">
        <v>3975.4</v>
      </c>
      <c r="BH56" s="125">
        <v>4310.4000000000005</v>
      </c>
      <c r="BI56" s="89">
        <v>1</v>
      </c>
      <c r="BJ56" s="89">
        <v>1</v>
      </c>
      <c r="BK56" s="89">
        <v>4310.4000000000005</v>
      </c>
      <c r="BL56" s="89">
        <v>4310.4000000000005</v>
      </c>
      <c r="BM56" s="89">
        <v>4356.3</v>
      </c>
      <c r="BN56" s="89"/>
      <c r="BO56" s="42"/>
      <c r="BP56" s="42"/>
      <c r="BQ56" s="42"/>
      <c r="BR56" s="42">
        <v>202606</v>
      </c>
      <c r="BS56" s="42">
        <v>202606</v>
      </c>
      <c r="BT56" s="89">
        <v>4310.3999999999996</v>
      </c>
      <c r="BU56" s="44">
        <v>380.9</v>
      </c>
      <c r="BV56" s="44">
        <v>3929.5</v>
      </c>
    </row>
    <row r="57" spans="1:74" ht="14.25" customHeight="1">
      <c r="A57" s="42">
        <v>1058826</v>
      </c>
      <c r="B57" s="42">
        <v>1</v>
      </c>
      <c r="C57" s="42">
        <v>20609012197</v>
      </c>
      <c r="D57" s="42" t="s">
        <v>645</v>
      </c>
      <c r="E57" s="42" t="s">
        <v>452</v>
      </c>
      <c r="F57" s="42" t="s">
        <v>980</v>
      </c>
      <c r="G57" s="42" t="s">
        <v>704</v>
      </c>
      <c r="H57" s="42" t="s">
        <v>439</v>
      </c>
      <c r="I57" s="42">
        <v>1520</v>
      </c>
      <c r="J57" s="42" t="s">
        <v>463</v>
      </c>
      <c r="K57" s="42" t="s">
        <v>464</v>
      </c>
      <c r="L57" s="42" t="s">
        <v>465</v>
      </c>
      <c r="M57" s="42" t="s">
        <v>122</v>
      </c>
      <c r="N57" s="42" t="s">
        <v>122</v>
      </c>
      <c r="O57" s="42" t="s">
        <v>443</v>
      </c>
      <c r="P57" s="42" t="s">
        <v>122</v>
      </c>
      <c r="Q57" s="42" t="s">
        <v>981</v>
      </c>
      <c r="R57" s="42">
        <v>20260603</v>
      </c>
      <c r="S57" s="42" t="s">
        <v>473</v>
      </c>
      <c r="T57" s="42" t="s">
        <v>445</v>
      </c>
      <c r="U57" s="42" t="s">
        <v>120</v>
      </c>
      <c r="V57" s="42">
        <v>2003006386812</v>
      </c>
      <c r="W57" s="42">
        <v>960846579</v>
      </c>
      <c r="X57" s="42" t="s">
        <v>33</v>
      </c>
      <c r="Y57" s="42" t="s">
        <v>475</v>
      </c>
      <c r="Z57" s="42" t="s">
        <v>446</v>
      </c>
      <c r="AA57" s="42" t="s">
        <v>447</v>
      </c>
      <c r="AB57" s="42" t="s">
        <v>121</v>
      </c>
      <c r="AC57" s="42" t="s">
        <v>175</v>
      </c>
      <c r="AD57" s="42"/>
      <c r="AE57" s="42" t="s">
        <v>148</v>
      </c>
      <c r="AF57" s="42" t="s">
        <v>122</v>
      </c>
      <c r="AG57" s="42">
        <v>1128</v>
      </c>
      <c r="AH57" s="42" t="s">
        <v>448</v>
      </c>
      <c r="AI57" s="42" t="s">
        <v>679</v>
      </c>
      <c r="AJ57" s="42" t="s">
        <v>680</v>
      </c>
      <c r="AK57" s="42" t="s">
        <v>449</v>
      </c>
      <c r="AL57" s="42" t="s">
        <v>121</v>
      </c>
      <c r="AM57" s="42"/>
      <c r="AN57" s="42" t="s">
        <v>122</v>
      </c>
      <c r="AO57" s="42" t="s">
        <v>467</v>
      </c>
      <c r="AP57" s="42"/>
      <c r="AQ57" s="42" t="s">
        <v>449</v>
      </c>
      <c r="AR57" s="42" t="s">
        <v>114</v>
      </c>
      <c r="AS57" s="42" t="s">
        <v>114</v>
      </c>
      <c r="AT57" s="42">
        <v>854</v>
      </c>
      <c r="AU57" s="42">
        <v>0</v>
      </c>
      <c r="AV57" s="42" t="s">
        <v>982</v>
      </c>
      <c r="AW57" s="42" t="s">
        <v>982</v>
      </c>
      <c r="AX57" s="42"/>
      <c r="AY57" s="42"/>
      <c r="AZ57" s="42">
        <v>1</v>
      </c>
      <c r="BA57" s="89">
        <v>127158</v>
      </c>
      <c r="BB57" s="89">
        <v>123028</v>
      </c>
      <c r="BC57" s="89">
        <v>126875</v>
      </c>
      <c r="BD57" s="89">
        <v>122938</v>
      </c>
      <c r="BE57" s="89">
        <v>126304</v>
      </c>
      <c r="BF57" s="89">
        <v>18638.239527093599</v>
      </c>
      <c r="BG57" s="89">
        <v>107665.7604729064</v>
      </c>
      <c r="BH57" s="125">
        <v>122938</v>
      </c>
      <c r="BI57" s="89">
        <v>1</v>
      </c>
      <c r="BJ57" s="89">
        <v>1</v>
      </c>
      <c r="BK57" s="89">
        <v>122938</v>
      </c>
      <c r="BL57" s="89">
        <v>122938</v>
      </c>
      <c r="BM57" s="89">
        <v>126875</v>
      </c>
      <c r="BN57" s="89" t="s">
        <v>461</v>
      </c>
      <c r="BO57" s="42" t="s">
        <v>461</v>
      </c>
      <c r="BP57" s="42"/>
      <c r="BQ57" s="42"/>
      <c r="BR57" s="42">
        <v>202606</v>
      </c>
      <c r="BS57" s="42">
        <v>202606</v>
      </c>
      <c r="BT57" s="89">
        <v>122938</v>
      </c>
      <c r="BU57" s="44">
        <v>18632.5</v>
      </c>
      <c r="BV57" s="44">
        <v>104305.5</v>
      </c>
    </row>
    <row r="58" spans="1:74" ht="14.25" customHeight="1">
      <c r="A58" s="42">
        <v>4081428</v>
      </c>
      <c r="B58" s="42">
        <v>7</v>
      </c>
      <c r="C58" s="42">
        <v>20612053384</v>
      </c>
      <c r="D58" s="42" t="s">
        <v>119</v>
      </c>
      <c r="E58" s="42" t="s">
        <v>436</v>
      </c>
      <c r="F58" s="42" t="s">
        <v>741</v>
      </c>
      <c r="G58" s="42" t="s">
        <v>1023</v>
      </c>
      <c r="H58" s="42" t="s">
        <v>1029</v>
      </c>
      <c r="I58" s="42">
        <v>8111</v>
      </c>
      <c r="J58" s="42" t="s">
        <v>1024</v>
      </c>
      <c r="K58" s="42" t="s">
        <v>993</v>
      </c>
      <c r="L58" s="42" t="s">
        <v>507</v>
      </c>
      <c r="M58" s="42" t="s">
        <v>122</v>
      </c>
      <c r="N58" s="42" t="s">
        <v>122</v>
      </c>
      <c r="O58" s="42" t="s">
        <v>443</v>
      </c>
      <c r="P58" s="42" t="s">
        <v>122</v>
      </c>
      <c r="Q58" s="42" t="s">
        <v>994</v>
      </c>
      <c r="R58" s="42">
        <v>20260612</v>
      </c>
      <c r="S58" s="42" t="s">
        <v>1025</v>
      </c>
      <c r="T58" s="42" t="s">
        <v>445</v>
      </c>
      <c r="U58" s="42" t="s">
        <v>120</v>
      </c>
      <c r="V58" s="42">
        <v>2003005957670</v>
      </c>
      <c r="W58" s="42">
        <v>955294946</v>
      </c>
      <c r="X58" s="42" t="s">
        <v>1031</v>
      </c>
      <c r="Y58" s="42" t="s">
        <v>475</v>
      </c>
      <c r="Z58" s="42" t="s">
        <v>446</v>
      </c>
      <c r="AA58" s="42" t="s">
        <v>447</v>
      </c>
      <c r="AB58" s="42" t="s">
        <v>121</v>
      </c>
      <c r="AC58" s="42" t="s">
        <v>287</v>
      </c>
      <c r="AD58" s="42"/>
      <c r="AE58" s="42" t="s">
        <v>148</v>
      </c>
      <c r="AF58" s="42" t="s">
        <v>122</v>
      </c>
      <c r="AG58" s="42">
        <v>1128</v>
      </c>
      <c r="AH58" s="42" t="s">
        <v>448</v>
      </c>
      <c r="AI58" s="42" t="s">
        <v>679</v>
      </c>
      <c r="AJ58" s="42" t="s">
        <v>184</v>
      </c>
      <c r="AK58" s="42" t="s">
        <v>449</v>
      </c>
      <c r="AL58" s="42" t="s">
        <v>121</v>
      </c>
      <c r="AM58" s="42"/>
      <c r="AN58" s="42" t="s">
        <v>122</v>
      </c>
      <c r="AO58" s="42" t="s">
        <v>995</v>
      </c>
      <c r="AP58" s="42"/>
      <c r="AQ58" s="42" t="s">
        <v>449</v>
      </c>
      <c r="AR58" s="42" t="s">
        <v>114</v>
      </c>
      <c r="AS58" s="42" t="s">
        <v>114</v>
      </c>
      <c r="AT58" s="42">
        <v>0</v>
      </c>
      <c r="AU58" s="42">
        <v>0</v>
      </c>
      <c r="AV58" s="42" t="s">
        <v>1027</v>
      </c>
      <c r="AW58" s="42" t="s">
        <v>1028</v>
      </c>
      <c r="AX58" s="42"/>
      <c r="AY58" s="42"/>
      <c r="AZ58" s="42">
        <v>1</v>
      </c>
      <c r="BA58" s="89">
        <v>0</v>
      </c>
      <c r="BB58" s="89">
        <v>0</v>
      </c>
      <c r="BC58" s="89">
        <v>0</v>
      </c>
      <c r="BD58" s="89">
        <v>0</v>
      </c>
      <c r="BE58" s="89">
        <v>0</v>
      </c>
      <c r="BF58" s="89">
        <v>0</v>
      </c>
      <c r="BG58" s="89">
        <v>0</v>
      </c>
      <c r="BH58" s="125">
        <v>0</v>
      </c>
      <c r="BI58" s="89">
        <v>0</v>
      </c>
      <c r="BJ58" s="89">
        <v>0</v>
      </c>
      <c r="BK58" s="89">
        <v>0</v>
      </c>
      <c r="BL58" s="89">
        <v>0</v>
      </c>
      <c r="BM58" s="89">
        <v>0</v>
      </c>
      <c r="BN58" s="89" t="s">
        <v>461</v>
      </c>
      <c r="BO58" s="42" t="s">
        <v>461</v>
      </c>
      <c r="BP58" s="42"/>
      <c r="BQ58" s="42"/>
      <c r="BR58" s="42">
        <v>202606</v>
      </c>
      <c r="BS58" s="42"/>
      <c r="BT58" s="89" t="s">
        <v>451</v>
      </c>
      <c r="BU58" s="44" t="s">
        <v>451</v>
      </c>
      <c r="BV58" s="44" t="s">
        <v>451</v>
      </c>
    </row>
    <row r="59" spans="1:74" ht="14.25" customHeight="1">
      <c r="A59" s="42">
        <v>4081427</v>
      </c>
      <c r="B59" s="42">
        <v>7</v>
      </c>
      <c r="C59" s="42">
        <v>20612053384</v>
      </c>
      <c r="D59" s="42" t="s">
        <v>119</v>
      </c>
      <c r="E59" s="42" t="s">
        <v>436</v>
      </c>
      <c r="F59" s="42" t="s">
        <v>741</v>
      </c>
      <c r="G59" s="42" t="s">
        <v>1023</v>
      </c>
      <c r="H59" s="42" t="s">
        <v>439</v>
      </c>
      <c r="I59" s="42">
        <v>8111</v>
      </c>
      <c r="J59" s="42" t="s">
        <v>1024</v>
      </c>
      <c r="K59" s="42" t="s">
        <v>993</v>
      </c>
      <c r="L59" s="42" t="s">
        <v>507</v>
      </c>
      <c r="M59" s="42" t="s">
        <v>122</v>
      </c>
      <c r="N59" s="42" t="s">
        <v>122</v>
      </c>
      <c r="O59" s="42" t="s">
        <v>443</v>
      </c>
      <c r="P59" s="42" t="s">
        <v>122</v>
      </c>
      <c r="Q59" s="42" t="s">
        <v>994</v>
      </c>
      <c r="R59" s="42">
        <v>20260612</v>
      </c>
      <c r="S59" s="42" t="s">
        <v>1025</v>
      </c>
      <c r="T59" s="42" t="s">
        <v>445</v>
      </c>
      <c r="U59" s="42" t="s">
        <v>120</v>
      </c>
      <c r="V59" s="42">
        <v>2003005765135</v>
      </c>
      <c r="W59" s="42">
        <v>955294946</v>
      </c>
      <c r="X59" s="42" t="s">
        <v>1031</v>
      </c>
      <c r="Y59" s="42" t="s">
        <v>475</v>
      </c>
      <c r="Z59" s="42" t="s">
        <v>446</v>
      </c>
      <c r="AA59" s="42" t="s">
        <v>447</v>
      </c>
      <c r="AB59" s="42" t="s">
        <v>121</v>
      </c>
      <c r="AC59" s="42" t="s">
        <v>287</v>
      </c>
      <c r="AD59" s="42"/>
      <c r="AE59" s="42" t="s">
        <v>148</v>
      </c>
      <c r="AF59" s="42" t="s">
        <v>122</v>
      </c>
      <c r="AG59" s="42">
        <v>1128</v>
      </c>
      <c r="AH59" s="42" t="s">
        <v>448</v>
      </c>
      <c r="AI59" s="42" t="s">
        <v>679</v>
      </c>
      <c r="AJ59" s="42" t="s">
        <v>184</v>
      </c>
      <c r="AK59" s="42" t="s">
        <v>449</v>
      </c>
      <c r="AL59" s="42" t="s">
        <v>121</v>
      </c>
      <c r="AM59" s="42"/>
      <c r="AN59" s="42" t="s">
        <v>122</v>
      </c>
      <c r="AO59" s="42" t="s">
        <v>995</v>
      </c>
      <c r="AP59" s="42"/>
      <c r="AQ59" s="42" t="s">
        <v>449</v>
      </c>
      <c r="AR59" s="42" t="s">
        <v>114</v>
      </c>
      <c r="AS59" s="42" t="s">
        <v>114</v>
      </c>
      <c r="AT59" s="42">
        <v>0</v>
      </c>
      <c r="AU59" s="42">
        <v>0</v>
      </c>
      <c r="AV59" s="42" t="s">
        <v>1027</v>
      </c>
      <c r="AW59" s="42" t="s">
        <v>1028</v>
      </c>
      <c r="AX59" s="42"/>
      <c r="AY59" s="42"/>
      <c r="AZ59" s="42">
        <v>1</v>
      </c>
      <c r="BA59" s="89">
        <v>0</v>
      </c>
      <c r="BB59" s="89">
        <v>0</v>
      </c>
      <c r="BC59" s="89">
        <v>0</v>
      </c>
      <c r="BD59" s="89">
        <v>0</v>
      </c>
      <c r="BE59" s="89">
        <v>0</v>
      </c>
      <c r="BF59" s="89">
        <v>0</v>
      </c>
      <c r="BG59" s="89">
        <v>0</v>
      </c>
      <c r="BH59" s="125">
        <v>0</v>
      </c>
      <c r="BI59" s="89">
        <v>0</v>
      </c>
      <c r="BJ59" s="89">
        <v>0</v>
      </c>
      <c r="BK59" s="89">
        <v>0</v>
      </c>
      <c r="BL59" s="89">
        <v>0</v>
      </c>
      <c r="BM59" s="89">
        <v>0</v>
      </c>
      <c r="BN59" s="89" t="s">
        <v>461</v>
      </c>
      <c r="BO59" s="42" t="s">
        <v>461</v>
      </c>
      <c r="BP59" s="42"/>
      <c r="BQ59" s="42"/>
      <c r="BR59" s="42">
        <v>202606</v>
      </c>
      <c r="BS59" s="42"/>
      <c r="BT59" s="89" t="s">
        <v>451</v>
      </c>
      <c r="BU59" s="44" t="s">
        <v>451</v>
      </c>
      <c r="BV59" s="44" t="s">
        <v>451</v>
      </c>
    </row>
    <row r="60" spans="1:74" ht="14.25" customHeight="1">
      <c r="A60" s="42">
        <v>4081436</v>
      </c>
      <c r="B60" s="42">
        <v>7</v>
      </c>
      <c r="C60" s="42">
        <v>20612053384</v>
      </c>
      <c r="D60" s="42" t="s">
        <v>119</v>
      </c>
      <c r="E60" s="42" t="s">
        <v>436</v>
      </c>
      <c r="F60" s="42" t="s">
        <v>741</v>
      </c>
      <c r="G60" s="42" t="s">
        <v>1023</v>
      </c>
      <c r="H60" s="42" t="s">
        <v>1029</v>
      </c>
      <c r="I60" s="42">
        <v>8011</v>
      </c>
      <c r="J60" s="42" t="s">
        <v>1030</v>
      </c>
      <c r="K60" s="42" t="s">
        <v>993</v>
      </c>
      <c r="L60" s="42" t="s">
        <v>507</v>
      </c>
      <c r="M60" s="42" t="s">
        <v>122</v>
      </c>
      <c r="N60" s="42" t="s">
        <v>122</v>
      </c>
      <c r="O60" s="42" t="s">
        <v>443</v>
      </c>
      <c r="P60" s="42" t="s">
        <v>122</v>
      </c>
      <c r="Q60" s="42" t="s">
        <v>994</v>
      </c>
      <c r="R60" s="42">
        <v>20260616</v>
      </c>
      <c r="S60" s="42" t="s">
        <v>1025</v>
      </c>
      <c r="T60" s="42" t="s">
        <v>445</v>
      </c>
      <c r="U60" s="42" t="s">
        <v>120</v>
      </c>
      <c r="V60" s="42">
        <v>2003005957670</v>
      </c>
      <c r="W60" s="42">
        <v>955294946</v>
      </c>
      <c r="X60" s="42" t="s">
        <v>1026</v>
      </c>
      <c r="Y60" s="42" t="s">
        <v>475</v>
      </c>
      <c r="Z60" s="42" t="s">
        <v>446</v>
      </c>
      <c r="AA60" s="42" t="s">
        <v>447</v>
      </c>
      <c r="AB60" s="42" t="s">
        <v>121</v>
      </c>
      <c r="AC60" s="42" t="s">
        <v>287</v>
      </c>
      <c r="AD60" s="42"/>
      <c r="AE60" s="42" t="s">
        <v>148</v>
      </c>
      <c r="AF60" s="42" t="s">
        <v>122</v>
      </c>
      <c r="AG60" s="42">
        <v>1128</v>
      </c>
      <c r="AH60" s="42" t="s">
        <v>448</v>
      </c>
      <c r="AI60" s="42" t="s">
        <v>679</v>
      </c>
      <c r="AJ60" s="42" t="s">
        <v>184</v>
      </c>
      <c r="AK60" s="42" t="s">
        <v>449</v>
      </c>
      <c r="AL60" s="42" t="s">
        <v>121</v>
      </c>
      <c r="AM60" s="42"/>
      <c r="AN60" s="42" t="s">
        <v>122</v>
      </c>
      <c r="AO60" s="42" t="s">
        <v>995</v>
      </c>
      <c r="AP60" s="42"/>
      <c r="AQ60" s="42" t="s">
        <v>449</v>
      </c>
      <c r="AR60" s="42" t="s">
        <v>114</v>
      </c>
      <c r="AS60" s="42" t="s">
        <v>114</v>
      </c>
      <c r="AT60" s="42">
        <v>0</v>
      </c>
      <c r="AU60" s="42">
        <v>0</v>
      </c>
      <c r="AV60" s="42" t="s">
        <v>1027</v>
      </c>
      <c r="AW60" s="42" t="s">
        <v>1028</v>
      </c>
      <c r="AX60" s="42"/>
      <c r="AY60" s="42"/>
      <c r="AZ60" s="42">
        <v>1</v>
      </c>
      <c r="BA60" s="89">
        <v>0</v>
      </c>
      <c r="BB60" s="89">
        <v>0</v>
      </c>
      <c r="BC60" s="89">
        <v>0</v>
      </c>
      <c r="BD60" s="89">
        <v>0</v>
      </c>
      <c r="BE60" s="89">
        <v>0</v>
      </c>
      <c r="BF60" s="89">
        <v>0</v>
      </c>
      <c r="BG60" s="89">
        <v>0</v>
      </c>
      <c r="BH60" s="125">
        <v>0</v>
      </c>
      <c r="BI60" s="89">
        <v>0</v>
      </c>
      <c r="BJ60" s="89">
        <v>0</v>
      </c>
      <c r="BK60" s="89">
        <v>0</v>
      </c>
      <c r="BL60" s="89">
        <v>0</v>
      </c>
      <c r="BM60" s="89">
        <v>0</v>
      </c>
      <c r="BN60" s="89" t="s">
        <v>461</v>
      </c>
      <c r="BO60" s="42" t="s">
        <v>461</v>
      </c>
      <c r="BP60" s="42"/>
      <c r="BQ60" s="42"/>
      <c r="BR60" s="42">
        <v>202606</v>
      </c>
      <c r="BS60" s="42"/>
      <c r="BT60" s="89" t="s">
        <v>451</v>
      </c>
      <c r="BU60" s="44" t="s">
        <v>451</v>
      </c>
      <c r="BV60" s="44" t="s">
        <v>451</v>
      </c>
    </row>
    <row r="61" spans="1:74" ht="14.25" customHeight="1">
      <c r="A61" s="42">
        <v>5954426</v>
      </c>
      <c r="B61" s="42">
        <v>7</v>
      </c>
      <c r="C61" s="42">
        <v>10402573452</v>
      </c>
      <c r="D61" s="42" t="s">
        <v>119</v>
      </c>
      <c r="E61" s="42" t="s">
        <v>436</v>
      </c>
      <c r="F61" s="42" t="s">
        <v>1032</v>
      </c>
      <c r="G61" s="42" t="s">
        <v>1033</v>
      </c>
      <c r="H61" s="42" t="s">
        <v>439</v>
      </c>
      <c r="I61" s="42">
        <v>8099</v>
      </c>
      <c r="J61" s="42" t="s">
        <v>1034</v>
      </c>
      <c r="K61" s="42" t="s">
        <v>1035</v>
      </c>
      <c r="L61" s="42" t="s">
        <v>689</v>
      </c>
      <c r="M61" s="42" t="s">
        <v>122</v>
      </c>
      <c r="N61" s="42" t="s">
        <v>122</v>
      </c>
      <c r="O61" s="42" t="s">
        <v>443</v>
      </c>
      <c r="P61" s="42" t="s">
        <v>122</v>
      </c>
      <c r="Q61" s="42" t="s">
        <v>1036</v>
      </c>
      <c r="R61" s="42">
        <v>20260601</v>
      </c>
      <c r="S61" s="42" t="s">
        <v>116</v>
      </c>
      <c r="T61" s="42" t="s">
        <v>474</v>
      </c>
      <c r="U61" s="42" t="s">
        <v>491</v>
      </c>
      <c r="V61" s="42"/>
      <c r="W61" s="42">
        <v>958318212</v>
      </c>
      <c r="X61" s="42" t="s">
        <v>117</v>
      </c>
      <c r="Y61" s="42" t="s">
        <v>705</v>
      </c>
      <c r="Z61" s="42" t="s">
        <v>476</v>
      </c>
      <c r="AA61" s="42" t="s">
        <v>447</v>
      </c>
      <c r="AB61" s="42" t="s">
        <v>121</v>
      </c>
      <c r="AC61" s="42" t="s">
        <v>211</v>
      </c>
      <c r="AD61" s="42"/>
      <c r="AE61" s="42" t="s">
        <v>148</v>
      </c>
      <c r="AF61" s="42" t="s">
        <v>122</v>
      </c>
      <c r="AG61" s="42">
        <v>1128</v>
      </c>
      <c r="AH61" s="42" t="s">
        <v>448</v>
      </c>
      <c r="AI61" s="42" t="s">
        <v>679</v>
      </c>
      <c r="AJ61" s="42" t="s">
        <v>184</v>
      </c>
      <c r="AK61" s="42" t="s">
        <v>449</v>
      </c>
      <c r="AL61" s="42" t="s">
        <v>121</v>
      </c>
      <c r="AM61" s="42"/>
      <c r="AN61" s="42" t="s">
        <v>122</v>
      </c>
      <c r="AO61" s="42" t="s">
        <v>1037</v>
      </c>
      <c r="AP61" s="42"/>
      <c r="AQ61" s="42" t="s">
        <v>449</v>
      </c>
      <c r="AR61" s="42" t="s">
        <v>114</v>
      </c>
      <c r="AS61" s="42" t="s">
        <v>114</v>
      </c>
      <c r="AT61" s="42">
        <v>0</v>
      </c>
      <c r="AU61" s="42">
        <v>0</v>
      </c>
      <c r="AV61" s="42"/>
      <c r="AW61" s="42"/>
      <c r="AX61" s="42" t="s">
        <v>211</v>
      </c>
      <c r="AY61" s="42" t="s">
        <v>451</v>
      </c>
      <c r="AZ61" s="42">
        <v>1</v>
      </c>
      <c r="BA61" s="89">
        <v>0</v>
      </c>
      <c r="BB61" s="89">
        <v>0</v>
      </c>
      <c r="BC61" s="89">
        <v>0</v>
      </c>
      <c r="BD61" s="89">
        <v>0</v>
      </c>
      <c r="BE61" s="89">
        <v>0</v>
      </c>
      <c r="BF61" s="89">
        <v>0</v>
      </c>
      <c r="BG61" s="89">
        <v>0</v>
      </c>
      <c r="BH61" s="125">
        <v>0</v>
      </c>
      <c r="BI61" s="89">
        <v>0</v>
      </c>
      <c r="BJ61" s="89">
        <v>0</v>
      </c>
      <c r="BK61" s="89">
        <v>0</v>
      </c>
      <c r="BL61" s="89">
        <v>0</v>
      </c>
      <c r="BM61" s="89">
        <v>0</v>
      </c>
      <c r="BN61" s="89"/>
      <c r="BO61" s="42"/>
      <c r="BP61" s="42"/>
      <c r="BQ61" s="42"/>
      <c r="BR61" s="42">
        <v>202606</v>
      </c>
      <c r="BS61" s="42"/>
      <c r="BT61" s="89" t="s">
        <v>451</v>
      </c>
      <c r="BU61" s="44" t="s">
        <v>451</v>
      </c>
      <c r="BV61" s="44" t="s">
        <v>451</v>
      </c>
    </row>
    <row r="62" spans="1:74" ht="14.25" customHeight="1">
      <c r="A62" s="42">
        <v>4081435</v>
      </c>
      <c r="B62" s="42">
        <v>7</v>
      </c>
      <c r="C62" s="42">
        <v>20612053384</v>
      </c>
      <c r="D62" s="42" t="s">
        <v>119</v>
      </c>
      <c r="E62" s="42" t="s">
        <v>436</v>
      </c>
      <c r="F62" s="42" t="s">
        <v>741</v>
      </c>
      <c r="G62" s="42" t="s">
        <v>1023</v>
      </c>
      <c r="H62" s="42" t="s">
        <v>439</v>
      </c>
      <c r="I62" s="42">
        <v>8111</v>
      </c>
      <c r="J62" s="42" t="s">
        <v>1024</v>
      </c>
      <c r="K62" s="42" t="s">
        <v>993</v>
      </c>
      <c r="L62" s="42" t="s">
        <v>507</v>
      </c>
      <c r="M62" s="42" t="s">
        <v>122</v>
      </c>
      <c r="N62" s="42" t="s">
        <v>122</v>
      </c>
      <c r="O62" s="42" t="s">
        <v>443</v>
      </c>
      <c r="P62" s="42" t="s">
        <v>122</v>
      </c>
      <c r="Q62" s="42" t="s">
        <v>994</v>
      </c>
      <c r="R62" s="42">
        <v>20260616</v>
      </c>
      <c r="S62" s="42" t="s">
        <v>1025</v>
      </c>
      <c r="T62" s="42" t="s">
        <v>445</v>
      </c>
      <c r="U62" s="42" t="s">
        <v>120</v>
      </c>
      <c r="V62" s="42">
        <v>2003005765135</v>
      </c>
      <c r="W62" s="42">
        <v>955294946</v>
      </c>
      <c r="X62" s="42" t="s">
        <v>1026</v>
      </c>
      <c r="Y62" s="42" t="s">
        <v>475</v>
      </c>
      <c r="Z62" s="42" t="s">
        <v>446</v>
      </c>
      <c r="AA62" s="42" t="s">
        <v>447</v>
      </c>
      <c r="AB62" s="42" t="s">
        <v>121</v>
      </c>
      <c r="AC62" s="42" t="s">
        <v>287</v>
      </c>
      <c r="AD62" s="42"/>
      <c r="AE62" s="42" t="s">
        <v>148</v>
      </c>
      <c r="AF62" s="42" t="s">
        <v>122</v>
      </c>
      <c r="AG62" s="42">
        <v>1128</v>
      </c>
      <c r="AH62" s="42" t="s">
        <v>448</v>
      </c>
      <c r="AI62" s="42" t="s">
        <v>679</v>
      </c>
      <c r="AJ62" s="42" t="s">
        <v>184</v>
      </c>
      <c r="AK62" s="42" t="s">
        <v>449</v>
      </c>
      <c r="AL62" s="42" t="s">
        <v>121</v>
      </c>
      <c r="AM62" s="42"/>
      <c r="AN62" s="42" t="s">
        <v>122</v>
      </c>
      <c r="AO62" s="42" t="s">
        <v>995</v>
      </c>
      <c r="AP62" s="42"/>
      <c r="AQ62" s="42" t="s">
        <v>449</v>
      </c>
      <c r="AR62" s="42" t="s">
        <v>114</v>
      </c>
      <c r="AS62" s="42" t="s">
        <v>114</v>
      </c>
      <c r="AT62" s="42">
        <v>0</v>
      </c>
      <c r="AU62" s="42">
        <v>0</v>
      </c>
      <c r="AV62" s="42" t="s">
        <v>1027</v>
      </c>
      <c r="AW62" s="42" t="s">
        <v>1028</v>
      </c>
      <c r="AX62" s="42"/>
      <c r="AY62" s="42"/>
      <c r="AZ62" s="42">
        <v>1</v>
      </c>
      <c r="BA62" s="89">
        <v>0</v>
      </c>
      <c r="BB62" s="89">
        <v>0</v>
      </c>
      <c r="BC62" s="89">
        <v>0</v>
      </c>
      <c r="BD62" s="89">
        <v>0</v>
      </c>
      <c r="BE62" s="89">
        <v>0</v>
      </c>
      <c r="BF62" s="89">
        <v>0</v>
      </c>
      <c r="BG62" s="89">
        <v>0</v>
      </c>
      <c r="BH62" s="125">
        <v>0</v>
      </c>
      <c r="BI62" s="89">
        <v>0</v>
      </c>
      <c r="BJ62" s="89">
        <v>0</v>
      </c>
      <c r="BK62" s="89">
        <v>0</v>
      </c>
      <c r="BL62" s="89">
        <v>0</v>
      </c>
      <c r="BM62" s="89">
        <v>0</v>
      </c>
      <c r="BN62" s="89" t="s">
        <v>461</v>
      </c>
      <c r="BO62" s="42" t="s">
        <v>461</v>
      </c>
      <c r="BP62" s="42"/>
      <c r="BQ62" s="42"/>
      <c r="BR62" s="42">
        <v>202606</v>
      </c>
      <c r="BS62" s="42"/>
      <c r="BT62" s="89" t="s">
        <v>451</v>
      </c>
      <c r="BU62" s="44" t="s">
        <v>451</v>
      </c>
      <c r="BV62" s="44" t="s">
        <v>451</v>
      </c>
    </row>
    <row r="63" spans="1:74" ht="14.25" customHeight="1">
      <c r="A63" s="42">
        <v>5954680</v>
      </c>
      <c r="B63" s="42">
        <v>1</v>
      </c>
      <c r="C63" s="42">
        <v>20615781003</v>
      </c>
      <c r="D63" s="42" t="s">
        <v>119</v>
      </c>
      <c r="E63" s="42" t="s">
        <v>436</v>
      </c>
      <c r="F63" s="42" t="s">
        <v>1047</v>
      </c>
      <c r="G63" s="42" t="s">
        <v>1048</v>
      </c>
      <c r="H63" s="42" t="s">
        <v>439</v>
      </c>
      <c r="I63" s="42">
        <v>5499</v>
      </c>
      <c r="J63" s="42" t="s">
        <v>115</v>
      </c>
      <c r="K63" s="42" t="s">
        <v>1049</v>
      </c>
      <c r="L63" s="42" t="s">
        <v>1050</v>
      </c>
      <c r="M63" s="42" t="s">
        <v>122</v>
      </c>
      <c r="N63" s="42" t="s">
        <v>122</v>
      </c>
      <c r="O63" s="42"/>
      <c r="P63" s="42" t="s">
        <v>122</v>
      </c>
      <c r="Q63" s="42" t="s">
        <v>1051</v>
      </c>
      <c r="R63" s="42">
        <v>20260602</v>
      </c>
      <c r="S63" s="42" t="s">
        <v>116</v>
      </c>
      <c r="T63" s="42" t="s">
        <v>445</v>
      </c>
      <c r="U63" s="42" t="s">
        <v>120</v>
      </c>
      <c r="V63" s="42">
        <v>2003008177609</v>
      </c>
      <c r="W63" s="42">
        <v>947982001</v>
      </c>
      <c r="X63" s="42" t="s">
        <v>117</v>
      </c>
      <c r="Y63" s="42" t="s">
        <v>725</v>
      </c>
      <c r="Z63" s="42" t="s">
        <v>446</v>
      </c>
      <c r="AA63" s="42" t="s">
        <v>447</v>
      </c>
      <c r="AB63" s="42" t="s">
        <v>121</v>
      </c>
      <c r="AC63" s="42" t="s">
        <v>221</v>
      </c>
      <c r="AD63" s="42"/>
      <c r="AE63" s="42" t="s">
        <v>148</v>
      </c>
      <c r="AF63" s="42"/>
      <c r="AG63" s="42">
        <v>1128</v>
      </c>
      <c r="AH63" s="42" t="s">
        <v>448</v>
      </c>
      <c r="AI63" s="42" t="s">
        <v>679</v>
      </c>
      <c r="AJ63" s="42" t="s">
        <v>184</v>
      </c>
      <c r="AK63" s="42" t="s">
        <v>449</v>
      </c>
      <c r="AL63" s="42" t="s">
        <v>121</v>
      </c>
      <c r="AM63" s="42"/>
      <c r="AN63" s="42" t="s">
        <v>122</v>
      </c>
      <c r="AO63" s="42" t="s">
        <v>721</v>
      </c>
      <c r="AP63" s="42"/>
      <c r="AQ63" s="42" t="s">
        <v>449</v>
      </c>
      <c r="AR63" s="42" t="s">
        <v>114</v>
      </c>
      <c r="AS63" s="42" t="s">
        <v>114</v>
      </c>
      <c r="AT63" s="42">
        <v>0</v>
      </c>
      <c r="AU63" s="42">
        <v>0</v>
      </c>
      <c r="AV63" s="42"/>
      <c r="AW63" s="42"/>
      <c r="AX63" s="42" t="s">
        <v>221</v>
      </c>
      <c r="AY63" s="42" t="s">
        <v>451</v>
      </c>
      <c r="AZ63" s="42">
        <v>1</v>
      </c>
      <c r="BA63" s="89">
        <v>30491.3</v>
      </c>
      <c r="BB63" s="89">
        <v>28334.099999999991</v>
      </c>
      <c r="BC63" s="89">
        <v>30491.3</v>
      </c>
      <c r="BD63" s="89">
        <v>28334.099999999991</v>
      </c>
      <c r="BE63" s="89">
        <v>13158.7</v>
      </c>
      <c r="BF63" s="89">
        <v>1102</v>
      </c>
      <c r="BG63" s="89">
        <v>12056.7</v>
      </c>
      <c r="BH63" s="125">
        <v>28334.099999999991</v>
      </c>
      <c r="BI63" s="89">
        <v>0.43155588643317933</v>
      </c>
      <c r="BJ63" s="89">
        <v>0.42551907418975732</v>
      </c>
      <c r="BK63" s="89">
        <v>12056.7</v>
      </c>
      <c r="BL63" s="89">
        <v>12056.7</v>
      </c>
      <c r="BM63" s="89">
        <v>13158.7</v>
      </c>
      <c r="BN63" s="89"/>
      <c r="BO63" s="42"/>
      <c r="BP63" s="42"/>
      <c r="BQ63" s="42"/>
      <c r="BR63" s="42">
        <v>202606</v>
      </c>
      <c r="BS63" s="42">
        <v>202606</v>
      </c>
      <c r="BT63" s="89">
        <v>12056.7</v>
      </c>
      <c r="BU63" s="44">
        <v>0</v>
      </c>
      <c r="BV63" s="44">
        <v>12056.7</v>
      </c>
    </row>
    <row r="64" spans="1:74" ht="14.25" customHeight="1">
      <c r="A64" s="42">
        <v>5954686</v>
      </c>
      <c r="B64" s="42">
        <v>1</v>
      </c>
      <c r="C64" s="42">
        <v>20615781003</v>
      </c>
      <c r="D64" s="42" t="s">
        <v>119</v>
      </c>
      <c r="E64" s="42" t="s">
        <v>436</v>
      </c>
      <c r="F64" s="42" t="s">
        <v>1047</v>
      </c>
      <c r="G64" s="42" t="s">
        <v>1048</v>
      </c>
      <c r="H64" s="42" t="s">
        <v>439</v>
      </c>
      <c r="I64" s="42">
        <v>5499</v>
      </c>
      <c r="J64" s="42" t="s">
        <v>115</v>
      </c>
      <c r="K64" s="42" t="s">
        <v>1049</v>
      </c>
      <c r="L64" s="42" t="s">
        <v>1050</v>
      </c>
      <c r="M64" s="42" t="s">
        <v>122</v>
      </c>
      <c r="N64" s="42" t="s">
        <v>122</v>
      </c>
      <c r="O64" s="42"/>
      <c r="P64" s="42" t="s">
        <v>122</v>
      </c>
      <c r="Q64" s="42" t="s">
        <v>1051</v>
      </c>
      <c r="R64" s="42">
        <v>20260602</v>
      </c>
      <c r="S64" s="42" t="s">
        <v>116</v>
      </c>
      <c r="T64" s="42" t="s">
        <v>445</v>
      </c>
      <c r="U64" s="42" t="s">
        <v>120</v>
      </c>
      <c r="V64" s="42">
        <v>2003008177609</v>
      </c>
      <c r="W64" s="42">
        <v>947982001</v>
      </c>
      <c r="X64" s="42" t="s">
        <v>117</v>
      </c>
      <c r="Y64" s="42" t="s">
        <v>728</v>
      </c>
      <c r="Z64" s="42" t="s">
        <v>446</v>
      </c>
      <c r="AA64" s="42" t="s">
        <v>447</v>
      </c>
      <c r="AB64" s="42" t="s">
        <v>121</v>
      </c>
      <c r="AC64" s="42" t="s">
        <v>221</v>
      </c>
      <c r="AD64" s="42"/>
      <c r="AE64" s="42" t="s">
        <v>148</v>
      </c>
      <c r="AF64" s="42"/>
      <c r="AG64" s="42">
        <v>1128</v>
      </c>
      <c r="AH64" s="42" t="s">
        <v>448</v>
      </c>
      <c r="AI64" s="42" t="s">
        <v>679</v>
      </c>
      <c r="AJ64" s="42" t="s">
        <v>184</v>
      </c>
      <c r="AK64" s="42" t="s">
        <v>449</v>
      </c>
      <c r="AL64" s="42" t="s">
        <v>121</v>
      </c>
      <c r="AM64" s="42"/>
      <c r="AN64" s="42" t="s">
        <v>122</v>
      </c>
      <c r="AO64" s="42" t="s">
        <v>721</v>
      </c>
      <c r="AP64" s="42"/>
      <c r="AQ64" s="42" t="s">
        <v>449</v>
      </c>
      <c r="AR64" s="42" t="s">
        <v>114</v>
      </c>
      <c r="AS64" s="42" t="s">
        <v>114</v>
      </c>
      <c r="AT64" s="42">
        <v>0</v>
      </c>
      <c r="AU64" s="42">
        <v>0</v>
      </c>
      <c r="AV64" s="42"/>
      <c r="AW64" s="42"/>
      <c r="AX64" s="42" t="s">
        <v>221</v>
      </c>
      <c r="AY64" s="42" t="s">
        <v>451</v>
      </c>
      <c r="AZ64" s="42">
        <v>1</v>
      </c>
      <c r="BA64" s="89">
        <v>30491.3</v>
      </c>
      <c r="BB64" s="89">
        <v>28334.099999999991</v>
      </c>
      <c r="BC64" s="89">
        <v>30491.3</v>
      </c>
      <c r="BD64" s="89">
        <v>28334.099999999991</v>
      </c>
      <c r="BE64" s="89">
        <v>17332.599999999999</v>
      </c>
      <c r="BF64" s="89">
        <v>1055.2</v>
      </c>
      <c r="BG64" s="89">
        <v>16277.4</v>
      </c>
      <c r="BH64" s="125">
        <v>28334.099999999991</v>
      </c>
      <c r="BI64" s="89">
        <v>0.56844411356682056</v>
      </c>
      <c r="BJ64" s="89">
        <v>0.57448092581024279</v>
      </c>
      <c r="BK64" s="89">
        <v>16277.399999999991</v>
      </c>
      <c r="BL64" s="89">
        <v>16277.399999999991</v>
      </c>
      <c r="BM64" s="89">
        <v>17332.599999999999</v>
      </c>
      <c r="BN64" s="89"/>
      <c r="BO64" s="42"/>
      <c r="BP64" s="42"/>
      <c r="BQ64" s="42"/>
      <c r="BR64" s="42">
        <v>202606</v>
      </c>
      <c r="BS64" s="42">
        <v>202606</v>
      </c>
      <c r="BT64" s="89">
        <v>16277.4</v>
      </c>
      <c r="BU64" s="44">
        <v>0</v>
      </c>
      <c r="BV64" s="44">
        <v>16277.4</v>
      </c>
    </row>
    <row r="65" spans="1:74" ht="14.25" customHeight="1">
      <c r="A65" s="42">
        <v>5954878</v>
      </c>
      <c r="B65" s="42">
        <v>1</v>
      </c>
      <c r="C65" s="42">
        <v>20614514338</v>
      </c>
      <c r="D65" s="42" t="s">
        <v>119</v>
      </c>
      <c r="E65" s="42" t="s">
        <v>436</v>
      </c>
      <c r="F65" s="42" t="s">
        <v>512</v>
      </c>
      <c r="G65" s="42" t="s">
        <v>438</v>
      </c>
      <c r="H65" s="42" t="s">
        <v>439</v>
      </c>
      <c r="I65" s="42">
        <v>5199</v>
      </c>
      <c r="J65" s="42" t="s">
        <v>536</v>
      </c>
      <c r="K65" s="42" t="s">
        <v>441</v>
      </c>
      <c r="L65" s="42" t="s">
        <v>442</v>
      </c>
      <c r="M65" s="42" t="s">
        <v>122</v>
      </c>
      <c r="N65" s="42" t="s">
        <v>122</v>
      </c>
      <c r="O65" s="42" t="s">
        <v>443</v>
      </c>
      <c r="P65" s="42" t="s">
        <v>122</v>
      </c>
      <c r="Q65" s="42" t="s">
        <v>444</v>
      </c>
      <c r="R65" s="42">
        <v>20260602</v>
      </c>
      <c r="S65" s="42" t="s">
        <v>116</v>
      </c>
      <c r="T65" s="42" t="s">
        <v>445</v>
      </c>
      <c r="U65" s="42" t="s">
        <v>120</v>
      </c>
      <c r="V65" s="42">
        <v>2003008135680</v>
      </c>
      <c r="W65" s="42">
        <v>914022218</v>
      </c>
      <c r="X65" s="42" t="s">
        <v>117</v>
      </c>
      <c r="Y65" s="42" t="s">
        <v>734</v>
      </c>
      <c r="Z65" s="42" t="s">
        <v>446</v>
      </c>
      <c r="AA65" s="42" t="s">
        <v>447</v>
      </c>
      <c r="AB65" s="42" t="s">
        <v>121</v>
      </c>
      <c r="AC65" s="42" t="s">
        <v>225</v>
      </c>
      <c r="AD65" s="42"/>
      <c r="AE65" s="42" t="s">
        <v>148</v>
      </c>
      <c r="AF65" s="42" t="s">
        <v>122</v>
      </c>
      <c r="AG65" s="42">
        <v>1128</v>
      </c>
      <c r="AH65" s="42" t="s">
        <v>448</v>
      </c>
      <c r="AI65" s="42" t="s">
        <v>679</v>
      </c>
      <c r="AJ65" s="42" t="s">
        <v>680</v>
      </c>
      <c r="AK65" s="42" t="s">
        <v>449</v>
      </c>
      <c r="AL65" s="42" t="s">
        <v>121</v>
      </c>
      <c r="AM65" s="42"/>
      <c r="AN65" s="42" t="s">
        <v>122</v>
      </c>
      <c r="AO65" s="42" t="s">
        <v>450</v>
      </c>
      <c r="AP65" s="42"/>
      <c r="AQ65" s="42" t="s">
        <v>449</v>
      </c>
      <c r="AR65" s="42" t="s">
        <v>114</v>
      </c>
      <c r="AS65" s="42" t="s">
        <v>114</v>
      </c>
      <c r="AT65" s="42">
        <v>35910.5</v>
      </c>
      <c r="AU65" s="42">
        <v>27222.5</v>
      </c>
      <c r="AV65" s="42" t="s">
        <v>1052</v>
      </c>
      <c r="AW65" s="42" t="s">
        <v>1052</v>
      </c>
      <c r="AX65" s="42" t="s">
        <v>225</v>
      </c>
      <c r="AY65" s="42" t="s">
        <v>451</v>
      </c>
      <c r="AZ65" s="42">
        <v>1</v>
      </c>
      <c r="BA65" s="89">
        <v>74274.25</v>
      </c>
      <c r="BB65" s="89">
        <v>58876.75</v>
      </c>
      <c r="BC65" s="89">
        <v>47223.25</v>
      </c>
      <c r="BD65" s="89">
        <v>38199.25</v>
      </c>
      <c r="BE65" s="89">
        <v>10798.709256033841</v>
      </c>
      <c r="BF65" s="89">
        <v>2496.4779795969148</v>
      </c>
      <c r="BG65" s="89">
        <v>8302.2312764369235</v>
      </c>
      <c r="BH65" s="125">
        <v>31654.25</v>
      </c>
      <c r="BI65" s="89">
        <v>0.28148210891880587</v>
      </c>
      <c r="BJ65" s="89">
        <v>0.28944285555344668</v>
      </c>
      <c r="BK65" s="89">
        <v>9162.0965104026909</v>
      </c>
      <c r="BL65" s="89">
        <v>11056.5</v>
      </c>
      <c r="BM65" s="89">
        <v>13292.5</v>
      </c>
      <c r="BN65" s="89"/>
      <c r="BO65" s="42"/>
      <c r="BP65" s="42"/>
      <c r="BQ65" s="42"/>
      <c r="BR65" s="42">
        <v>202606</v>
      </c>
      <c r="BS65" s="42">
        <v>202606</v>
      </c>
      <c r="BT65" s="89">
        <v>11056.5</v>
      </c>
      <c r="BU65" s="44">
        <v>837</v>
      </c>
      <c r="BV65" s="44">
        <v>10219.5</v>
      </c>
    </row>
    <row r="66" spans="1:74" ht="14.25" customHeight="1">
      <c r="A66" s="42">
        <v>5954957</v>
      </c>
      <c r="B66" s="42">
        <v>1</v>
      </c>
      <c r="C66" s="42">
        <v>20449499540</v>
      </c>
      <c r="D66" s="42" t="s">
        <v>645</v>
      </c>
      <c r="E66" s="42" t="s">
        <v>436</v>
      </c>
      <c r="F66" s="42" t="s">
        <v>1053</v>
      </c>
      <c r="G66" s="42" t="s">
        <v>738</v>
      </c>
      <c r="H66" s="42" t="s">
        <v>439</v>
      </c>
      <c r="I66" s="42">
        <v>5045</v>
      </c>
      <c r="J66" s="42" t="s">
        <v>1054</v>
      </c>
      <c r="K66" s="42" t="s">
        <v>1055</v>
      </c>
      <c r="L66" s="42" t="s">
        <v>1056</v>
      </c>
      <c r="M66" s="42" t="s">
        <v>1056</v>
      </c>
      <c r="N66" s="42" t="s">
        <v>1056</v>
      </c>
      <c r="O66" s="42" t="s">
        <v>497</v>
      </c>
      <c r="P66" s="42" t="s">
        <v>457</v>
      </c>
      <c r="Q66" s="42" t="s">
        <v>1057</v>
      </c>
      <c r="R66" s="42">
        <v>20260602</v>
      </c>
      <c r="S66" s="42" t="s">
        <v>116</v>
      </c>
      <c r="T66" s="42" t="s">
        <v>445</v>
      </c>
      <c r="U66" s="42" t="s">
        <v>120</v>
      </c>
      <c r="V66" s="42">
        <v>3403008434474</v>
      </c>
      <c r="W66" s="42">
        <v>987110631</v>
      </c>
      <c r="X66" s="42" t="s">
        <v>117</v>
      </c>
      <c r="Y66" s="42" t="s">
        <v>737</v>
      </c>
      <c r="Z66" s="42" t="s">
        <v>446</v>
      </c>
      <c r="AA66" s="42" t="s">
        <v>447</v>
      </c>
      <c r="AB66" s="42" t="s">
        <v>121</v>
      </c>
      <c r="AC66" s="42" t="s">
        <v>268</v>
      </c>
      <c r="AD66" s="42"/>
      <c r="AE66" s="42" t="s">
        <v>148</v>
      </c>
      <c r="AF66" s="42" t="s">
        <v>1056</v>
      </c>
      <c r="AG66" s="42">
        <v>1128</v>
      </c>
      <c r="AH66" s="42" t="s">
        <v>448</v>
      </c>
      <c r="AI66" s="42" t="s">
        <v>679</v>
      </c>
      <c r="AJ66" s="42" t="s">
        <v>184</v>
      </c>
      <c r="AK66" s="42" t="s">
        <v>449</v>
      </c>
      <c r="AL66" s="42" t="s">
        <v>121</v>
      </c>
      <c r="AM66" s="42"/>
      <c r="AN66" s="42" t="s">
        <v>122</v>
      </c>
      <c r="AO66" s="42" t="s">
        <v>598</v>
      </c>
      <c r="AP66" s="42"/>
      <c r="AQ66" s="42" t="s">
        <v>449</v>
      </c>
      <c r="AR66" s="42" t="s">
        <v>114</v>
      </c>
      <c r="AS66" s="42" t="s">
        <v>114</v>
      </c>
      <c r="AT66" s="42">
        <v>1235.18</v>
      </c>
      <c r="AU66" s="42">
        <v>1235.18</v>
      </c>
      <c r="AV66" s="42" t="s">
        <v>1058</v>
      </c>
      <c r="AW66" s="42" t="s">
        <v>1058</v>
      </c>
      <c r="AX66" s="42" t="s">
        <v>268</v>
      </c>
      <c r="AY66" s="42" t="s">
        <v>451</v>
      </c>
      <c r="AZ66" s="42">
        <v>1</v>
      </c>
      <c r="BA66" s="89">
        <v>604.20000000000005</v>
      </c>
      <c r="BB66" s="89">
        <v>603.20000000000005</v>
      </c>
      <c r="BC66" s="89">
        <v>188.2</v>
      </c>
      <c r="BD66" s="89">
        <v>187.2</v>
      </c>
      <c r="BE66" s="89">
        <v>0</v>
      </c>
      <c r="BF66" s="89">
        <v>0</v>
      </c>
      <c r="BG66" s="89">
        <v>0</v>
      </c>
      <c r="BH66" s="125">
        <v>0</v>
      </c>
      <c r="BI66" s="89">
        <v>1</v>
      </c>
      <c r="BJ66" s="89">
        <v>1</v>
      </c>
      <c r="BK66" s="89">
        <v>0</v>
      </c>
      <c r="BL66" s="89">
        <v>187.2</v>
      </c>
      <c r="BM66" s="89">
        <v>188.2</v>
      </c>
      <c r="BN66" s="89" t="s">
        <v>461</v>
      </c>
      <c r="BO66" s="42" t="s">
        <v>461</v>
      </c>
      <c r="BP66" s="42"/>
      <c r="BQ66" s="42"/>
      <c r="BR66" s="42">
        <v>202606</v>
      </c>
      <c r="BS66" s="42">
        <v>202606</v>
      </c>
      <c r="BT66" s="89">
        <v>187.2</v>
      </c>
      <c r="BU66" s="44">
        <v>0</v>
      </c>
      <c r="BV66" s="44">
        <v>187.2</v>
      </c>
    </row>
    <row r="67" spans="1:74" ht="14.25" customHeight="1">
      <c r="A67" s="42">
        <v>5954895</v>
      </c>
      <c r="B67" s="42">
        <v>1</v>
      </c>
      <c r="C67" s="42">
        <v>20614514338</v>
      </c>
      <c r="D67" s="42" t="s">
        <v>119</v>
      </c>
      <c r="E67" s="42" t="s">
        <v>436</v>
      </c>
      <c r="F67" s="42" t="s">
        <v>512</v>
      </c>
      <c r="G67" s="42" t="s">
        <v>438</v>
      </c>
      <c r="H67" s="42" t="s">
        <v>439</v>
      </c>
      <c r="I67" s="42">
        <v>5199</v>
      </c>
      <c r="J67" s="42" t="s">
        <v>536</v>
      </c>
      <c r="K67" s="42" t="s">
        <v>441</v>
      </c>
      <c r="L67" s="42" t="s">
        <v>442</v>
      </c>
      <c r="M67" s="42" t="s">
        <v>122</v>
      </c>
      <c r="N67" s="42" t="s">
        <v>122</v>
      </c>
      <c r="O67" s="42" t="s">
        <v>443</v>
      </c>
      <c r="P67" s="42" t="s">
        <v>122</v>
      </c>
      <c r="Q67" s="42" t="s">
        <v>444</v>
      </c>
      <c r="R67" s="42">
        <v>20260602</v>
      </c>
      <c r="S67" s="42" t="s">
        <v>116</v>
      </c>
      <c r="T67" s="42" t="s">
        <v>445</v>
      </c>
      <c r="U67" s="42" t="s">
        <v>120</v>
      </c>
      <c r="V67" s="42">
        <v>2003008135680</v>
      </c>
      <c r="W67" s="42">
        <v>914022218</v>
      </c>
      <c r="X67" s="42" t="s">
        <v>117</v>
      </c>
      <c r="Y67" s="42" t="s">
        <v>731</v>
      </c>
      <c r="Z67" s="42" t="s">
        <v>446</v>
      </c>
      <c r="AA67" s="42" t="s">
        <v>447</v>
      </c>
      <c r="AB67" s="42" t="s">
        <v>121</v>
      </c>
      <c r="AC67" s="42" t="s">
        <v>225</v>
      </c>
      <c r="AD67" s="42"/>
      <c r="AE67" s="42" t="s">
        <v>148</v>
      </c>
      <c r="AF67" s="42" t="s">
        <v>122</v>
      </c>
      <c r="AG67" s="42">
        <v>1128</v>
      </c>
      <c r="AH67" s="42" t="s">
        <v>448</v>
      </c>
      <c r="AI67" s="42" t="s">
        <v>679</v>
      </c>
      <c r="AJ67" s="42" t="s">
        <v>680</v>
      </c>
      <c r="AK67" s="42" t="s">
        <v>449</v>
      </c>
      <c r="AL67" s="42" t="s">
        <v>121</v>
      </c>
      <c r="AM67" s="42"/>
      <c r="AN67" s="42" t="s">
        <v>122</v>
      </c>
      <c r="AO67" s="42" t="s">
        <v>450</v>
      </c>
      <c r="AP67" s="42"/>
      <c r="AQ67" s="42" t="s">
        <v>449</v>
      </c>
      <c r="AR67" s="42" t="s">
        <v>114</v>
      </c>
      <c r="AS67" s="42" t="s">
        <v>114</v>
      </c>
      <c r="AT67" s="42">
        <v>35910.5</v>
      </c>
      <c r="AU67" s="42">
        <v>27222.5</v>
      </c>
      <c r="AV67" s="42" t="s">
        <v>1052</v>
      </c>
      <c r="AW67" s="42" t="s">
        <v>1052</v>
      </c>
      <c r="AX67" s="42" t="s">
        <v>225</v>
      </c>
      <c r="AY67" s="42" t="s">
        <v>451</v>
      </c>
      <c r="AZ67" s="42">
        <v>1</v>
      </c>
      <c r="BA67" s="89">
        <v>74274.25</v>
      </c>
      <c r="BB67" s="89">
        <v>58876.75</v>
      </c>
      <c r="BC67" s="89">
        <v>47223.25</v>
      </c>
      <c r="BD67" s="89">
        <v>38199.25</v>
      </c>
      <c r="BE67" s="89">
        <v>9136.353881562578</v>
      </c>
      <c r="BF67" s="89">
        <v>1984.2653645185369</v>
      </c>
      <c r="BG67" s="89">
        <v>7152.0885170440406</v>
      </c>
      <c r="BH67" s="125">
        <v>31654.25</v>
      </c>
      <c r="BI67" s="89">
        <v>0.23815069907302019</v>
      </c>
      <c r="BJ67" s="89">
        <v>0.23112364771559649</v>
      </c>
      <c r="BK67" s="89">
        <v>7316.0457257014214</v>
      </c>
      <c r="BL67" s="89">
        <v>8828.75</v>
      </c>
      <c r="BM67" s="89">
        <v>11246.25</v>
      </c>
      <c r="BN67" s="89"/>
      <c r="BO67" s="42"/>
      <c r="BP67" s="42"/>
      <c r="BQ67" s="42"/>
      <c r="BR67" s="42">
        <v>202606</v>
      </c>
      <c r="BS67" s="42">
        <v>202606</v>
      </c>
      <c r="BT67" s="89">
        <v>8828.75</v>
      </c>
      <c r="BU67" s="44">
        <v>25</v>
      </c>
      <c r="BV67" s="44">
        <v>8803.75</v>
      </c>
    </row>
    <row r="68" spans="1:74" ht="14.25" customHeight="1">
      <c r="A68" s="42">
        <v>5954902</v>
      </c>
      <c r="B68" s="42">
        <v>1</v>
      </c>
      <c r="C68" s="42">
        <v>20614514338</v>
      </c>
      <c r="D68" s="42" t="s">
        <v>119</v>
      </c>
      <c r="E68" s="42" t="s">
        <v>436</v>
      </c>
      <c r="F68" s="42" t="s">
        <v>512</v>
      </c>
      <c r="G68" s="42" t="s">
        <v>438</v>
      </c>
      <c r="H68" s="42" t="s">
        <v>439</v>
      </c>
      <c r="I68" s="42">
        <v>5199</v>
      </c>
      <c r="J68" s="42" t="s">
        <v>536</v>
      </c>
      <c r="K68" s="42" t="s">
        <v>441</v>
      </c>
      <c r="L68" s="42" t="s">
        <v>442</v>
      </c>
      <c r="M68" s="42" t="s">
        <v>122</v>
      </c>
      <c r="N68" s="42" t="s">
        <v>122</v>
      </c>
      <c r="O68" s="42" t="s">
        <v>443</v>
      </c>
      <c r="P68" s="42" t="s">
        <v>122</v>
      </c>
      <c r="Q68" s="42" t="s">
        <v>444</v>
      </c>
      <c r="R68" s="42">
        <v>20260602</v>
      </c>
      <c r="S68" s="42" t="s">
        <v>116</v>
      </c>
      <c r="T68" s="42" t="s">
        <v>445</v>
      </c>
      <c r="U68" s="42" t="s">
        <v>120</v>
      </c>
      <c r="V68" s="42">
        <v>2003008135680</v>
      </c>
      <c r="W68" s="42">
        <v>914022218</v>
      </c>
      <c r="X68" s="42" t="s">
        <v>117</v>
      </c>
      <c r="Y68" s="42" t="s">
        <v>732</v>
      </c>
      <c r="Z68" s="42" t="s">
        <v>446</v>
      </c>
      <c r="AA68" s="42" t="s">
        <v>447</v>
      </c>
      <c r="AB68" s="42" t="s">
        <v>121</v>
      </c>
      <c r="AC68" s="42" t="s">
        <v>225</v>
      </c>
      <c r="AD68" s="42"/>
      <c r="AE68" s="42" t="s">
        <v>148</v>
      </c>
      <c r="AF68" s="42" t="s">
        <v>122</v>
      </c>
      <c r="AG68" s="42">
        <v>1128</v>
      </c>
      <c r="AH68" s="42" t="s">
        <v>448</v>
      </c>
      <c r="AI68" s="42" t="s">
        <v>679</v>
      </c>
      <c r="AJ68" s="42" t="s">
        <v>680</v>
      </c>
      <c r="AK68" s="42" t="s">
        <v>449</v>
      </c>
      <c r="AL68" s="42" t="s">
        <v>121</v>
      </c>
      <c r="AM68" s="42"/>
      <c r="AN68" s="42" t="s">
        <v>122</v>
      </c>
      <c r="AO68" s="42" t="s">
        <v>450</v>
      </c>
      <c r="AP68" s="42"/>
      <c r="AQ68" s="42" t="s">
        <v>449</v>
      </c>
      <c r="AR68" s="42" t="s">
        <v>114</v>
      </c>
      <c r="AS68" s="42" t="s">
        <v>114</v>
      </c>
      <c r="AT68" s="42">
        <v>35910.5</v>
      </c>
      <c r="AU68" s="42">
        <v>27222.5</v>
      </c>
      <c r="AV68" s="42" t="s">
        <v>1052</v>
      </c>
      <c r="AW68" s="42" t="s">
        <v>1052</v>
      </c>
      <c r="AX68" s="42" t="s">
        <v>225</v>
      </c>
      <c r="AY68" s="42" t="s">
        <v>451</v>
      </c>
      <c r="AZ68" s="42">
        <v>1</v>
      </c>
      <c r="BA68" s="89">
        <v>74274.25</v>
      </c>
      <c r="BB68" s="89">
        <v>58876.75</v>
      </c>
      <c r="BC68" s="89">
        <v>47223.25</v>
      </c>
      <c r="BD68" s="89">
        <v>38199.25</v>
      </c>
      <c r="BE68" s="89">
        <v>9302.6909679024629</v>
      </c>
      <c r="BF68" s="89">
        <v>1773.856058721075</v>
      </c>
      <c r="BG68" s="89">
        <v>7528.834909181388</v>
      </c>
      <c r="BH68" s="125">
        <v>31654.25</v>
      </c>
      <c r="BI68" s="89">
        <v>0.2424864870588111</v>
      </c>
      <c r="BJ68" s="89">
        <v>0.24260947531692381</v>
      </c>
      <c r="BK68" s="89">
        <v>7679.6209840507336</v>
      </c>
      <c r="BL68" s="89">
        <v>9267.5</v>
      </c>
      <c r="BM68" s="89">
        <v>11451</v>
      </c>
      <c r="BN68" s="89"/>
      <c r="BO68" s="42"/>
      <c r="BP68" s="42"/>
      <c r="BQ68" s="42"/>
      <c r="BR68" s="42">
        <v>202606</v>
      </c>
      <c r="BS68" s="42">
        <v>202606</v>
      </c>
      <c r="BT68" s="89">
        <v>9267.5</v>
      </c>
      <c r="BU68" s="44">
        <v>0</v>
      </c>
      <c r="BV68" s="44">
        <v>9267.5</v>
      </c>
    </row>
    <row r="69" spans="1:74" ht="14.25" customHeight="1">
      <c r="A69" s="42">
        <v>5955465</v>
      </c>
      <c r="B69" s="42">
        <v>1</v>
      </c>
      <c r="C69" s="42">
        <v>20613633601</v>
      </c>
      <c r="D69" s="42" t="s">
        <v>119</v>
      </c>
      <c r="E69" s="42" t="s">
        <v>452</v>
      </c>
      <c r="F69" s="42" t="s">
        <v>1038</v>
      </c>
      <c r="G69" s="42" t="s">
        <v>1039</v>
      </c>
      <c r="H69" s="42" t="s">
        <v>439</v>
      </c>
      <c r="I69" s="42">
        <v>5921</v>
      </c>
      <c r="J69" s="42" t="s">
        <v>1040</v>
      </c>
      <c r="K69" s="42" t="s">
        <v>1041</v>
      </c>
      <c r="L69" s="42" t="s">
        <v>1042</v>
      </c>
      <c r="M69" s="42" t="s">
        <v>1043</v>
      </c>
      <c r="N69" s="42" t="s">
        <v>1044</v>
      </c>
      <c r="O69" s="42" t="s">
        <v>1045</v>
      </c>
      <c r="P69" s="42" t="s">
        <v>457</v>
      </c>
      <c r="Q69" s="42" t="s">
        <v>1046</v>
      </c>
      <c r="R69" s="42">
        <v>20260603</v>
      </c>
      <c r="S69" s="42" t="s">
        <v>116</v>
      </c>
      <c r="T69" s="42" t="s">
        <v>445</v>
      </c>
      <c r="U69" s="42" t="s">
        <v>120</v>
      </c>
      <c r="V69" s="42">
        <v>7603358283277</v>
      </c>
      <c r="W69" s="42">
        <v>991497823</v>
      </c>
      <c r="X69" s="42" t="s">
        <v>117</v>
      </c>
      <c r="Y69" s="42" t="s">
        <v>745</v>
      </c>
      <c r="Z69" s="42" t="s">
        <v>446</v>
      </c>
      <c r="AA69" s="42" t="s">
        <v>447</v>
      </c>
      <c r="AB69" s="42" t="s">
        <v>121</v>
      </c>
      <c r="AC69" s="42" t="s">
        <v>287</v>
      </c>
      <c r="AD69" s="42"/>
      <c r="AE69" s="42" t="s">
        <v>148</v>
      </c>
      <c r="AF69" s="42" t="s">
        <v>274</v>
      </c>
      <c r="AG69" s="42">
        <v>1128</v>
      </c>
      <c r="AH69" s="42" t="s">
        <v>448</v>
      </c>
      <c r="AI69" s="42" t="s">
        <v>679</v>
      </c>
      <c r="AJ69" s="42" t="s">
        <v>184</v>
      </c>
      <c r="AK69" s="42" t="s">
        <v>449</v>
      </c>
      <c r="AL69" s="42" t="s">
        <v>121</v>
      </c>
      <c r="AM69" s="42"/>
      <c r="AN69" s="42" t="s">
        <v>122</v>
      </c>
      <c r="AO69" s="42" t="s">
        <v>995</v>
      </c>
      <c r="AP69" s="42"/>
      <c r="AQ69" s="42" t="s">
        <v>449</v>
      </c>
      <c r="AR69" s="42" t="s">
        <v>114</v>
      </c>
      <c r="AS69" s="42" t="s">
        <v>114</v>
      </c>
      <c r="AT69" s="42">
        <v>0</v>
      </c>
      <c r="AU69" s="42">
        <v>0</v>
      </c>
      <c r="AV69" s="42"/>
      <c r="AW69" s="42"/>
      <c r="AX69" s="42" t="s">
        <v>287</v>
      </c>
      <c r="AY69" s="42" t="s">
        <v>451</v>
      </c>
      <c r="AZ69" s="42">
        <v>1</v>
      </c>
      <c r="BA69" s="89">
        <v>17702</v>
      </c>
      <c r="BB69" s="89">
        <v>5965</v>
      </c>
      <c r="BC69" s="89">
        <v>17702</v>
      </c>
      <c r="BD69" s="89">
        <v>5965</v>
      </c>
      <c r="BE69" s="89">
        <v>1496</v>
      </c>
      <c r="BF69" s="89">
        <v>1118</v>
      </c>
      <c r="BG69" s="89">
        <v>378</v>
      </c>
      <c r="BH69" s="125">
        <v>5965</v>
      </c>
      <c r="BI69" s="89">
        <v>8.451022483335216E-2</v>
      </c>
      <c r="BJ69" s="89">
        <v>6.3369656328583407E-2</v>
      </c>
      <c r="BK69" s="89">
        <v>378</v>
      </c>
      <c r="BL69" s="89">
        <v>378</v>
      </c>
      <c r="BM69" s="89">
        <v>1496</v>
      </c>
      <c r="BN69" s="89"/>
      <c r="BO69" s="42"/>
      <c r="BP69" s="42"/>
      <c r="BQ69" s="42"/>
      <c r="BR69" s="42">
        <v>202606</v>
      </c>
      <c r="BS69" s="42">
        <v>202606</v>
      </c>
      <c r="BT69" s="89">
        <v>378</v>
      </c>
      <c r="BU69" s="44">
        <v>0</v>
      </c>
      <c r="BV69" s="44">
        <v>378</v>
      </c>
    </row>
    <row r="70" spans="1:74" ht="14.25" customHeight="1">
      <c r="A70" s="42">
        <v>5955497</v>
      </c>
      <c r="B70" s="42">
        <v>1</v>
      </c>
      <c r="C70" s="42">
        <v>20613633601</v>
      </c>
      <c r="D70" s="42" t="s">
        <v>119</v>
      </c>
      <c r="E70" s="42" t="s">
        <v>452</v>
      </c>
      <c r="F70" s="42" t="s">
        <v>1038</v>
      </c>
      <c r="G70" s="42" t="s">
        <v>1039</v>
      </c>
      <c r="H70" s="42" t="s">
        <v>439</v>
      </c>
      <c r="I70" s="42">
        <v>5921</v>
      </c>
      <c r="J70" s="42" t="s">
        <v>1040</v>
      </c>
      <c r="K70" s="42" t="s">
        <v>1041</v>
      </c>
      <c r="L70" s="42" t="s">
        <v>1042</v>
      </c>
      <c r="M70" s="42" t="s">
        <v>1043</v>
      </c>
      <c r="N70" s="42" t="s">
        <v>1044</v>
      </c>
      <c r="O70" s="42" t="s">
        <v>1045</v>
      </c>
      <c r="P70" s="42" t="s">
        <v>457</v>
      </c>
      <c r="Q70" s="42" t="s">
        <v>1046</v>
      </c>
      <c r="R70" s="42">
        <v>20260603</v>
      </c>
      <c r="S70" s="42" t="s">
        <v>116</v>
      </c>
      <c r="T70" s="42" t="s">
        <v>445</v>
      </c>
      <c r="U70" s="42" t="s">
        <v>120</v>
      </c>
      <c r="V70" s="42">
        <v>7603358283277</v>
      </c>
      <c r="W70" s="42">
        <v>991497823</v>
      </c>
      <c r="X70" s="42" t="s">
        <v>117</v>
      </c>
      <c r="Y70" s="42" t="s">
        <v>747</v>
      </c>
      <c r="Z70" s="42" t="s">
        <v>446</v>
      </c>
      <c r="AA70" s="42" t="s">
        <v>447</v>
      </c>
      <c r="AB70" s="42" t="s">
        <v>121</v>
      </c>
      <c r="AC70" s="42" t="s">
        <v>287</v>
      </c>
      <c r="AD70" s="42"/>
      <c r="AE70" s="42" t="s">
        <v>148</v>
      </c>
      <c r="AF70" s="42" t="s">
        <v>274</v>
      </c>
      <c r="AG70" s="42">
        <v>1128</v>
      </c>
      <c r="AH70" s="42" t="s">
        <v>448</v>
      </c>
      <c r="AI70" s="42" t="s">
        <v>679</v>
      </c>
      <c r="AJ70" s="42" t="s">
        <v>184</v>
      </c>
      <c r="AK70" s="42" t="s">
        <v>449</v>
      </c>
      <c r="AL70" s="42" t="s">
        <v>121</v>
      </c>
      <c r="AM70" s="42"/>
      <c r="AN70" s="42" t="s">
        <v>122</v>
      </c>
      <c r="AO70" s="42" t="s">
        <v>995</v>
      </c>
      <c r="AP70" s="42"/>
      <c r="AQ70" s="42" t="s">
        <v>449</v>
      </c>
      <c r="AR70" s="42" t="s">
        <v>114</v>
      </c>
      <c r="AS70" s="42" t="s">
        <v>114</v>
      </c>
      <c r="AT70" s="42">
        <v>0</v>
      </c>
      <c r="AU70" s="42">
        <v>0</v>
      </c>
      <c r="AV70" s="42"/>
      <c r="AW70" s="42"/>
      <c r="AX70" s="42" t="s">
        <v>287</v>
      </c>
      <c r="AY70" s="42" t="s">
        <v>451</v>
      </c>
      <c r="AZ70" s="42">
        <v>1</v>
      </c>
      <c r="BA70" s="89">
        <v>17702</v>
      </c>
      <c r="BB70" s="89">
        <v>5965</v>
      </c>
      <c r="BC70" s="89">
        <v>17702</v>
      </c>
      <c r="BD70" s="89">
        <v>5965</v>
      </c>
      <c r="BE70" s="89">
        <v>2656</v>
      </c>
      <c r="BF70" s="89">
        <v>2087</v>
      </c>
      <c r="BG70" s="89">
        <v>569</v>
      </c>
      <c r="BH70" s="125">
        <v>5965</v>
      </c>
      <c r="BI70" s="89">
        <v>0.15003954355440061</v>
      </c>
      <c r="BJ70" s="89">
        <v>9.5389773679798825E-2</v>
      </c>
      <c r="BK70" s="89">
        <v>569</v>
      </c>
      <c r="BL70" s="89">
        <v>569</v>
      </c>
      <c r="BM70" s="89">
        <v>2656</v>
      </c>
      <c r="BN70" s="89"/>
      <c r="BO70" s="42"/>
      <c r="BP70" s="42"/>
      <c r="BQ70" s="42"/>
      <c r="BR70" s="42">
        <v>202606</v>
      </c>
      <c r="BS70" s="42">
        <v>202606</v>
      </c>
      <c r="BT70" s="89">
        <v>569</v>
      </c>
      <c r="BU70" s="44">
        <v>0</v>
      </c>
      <c r="BV70" s="44">
        <v>569</v>
      </c>
    </row>
    <row r="71" spans="1:74" ht="14.25" customHeight="1">
      <c r="A71" s="42">
        <v>5955460</v>
      </c>
      <c r="B71" s="42">
        <v>1</v>
      </c>
      <c r="C71" s="42">
        <v>20613633601</v>
      </c>
      <c r="D71" s="42" t="s">
        <v>119</v>
      </c>
      <c r="E71" s="42" t="s">
        <v>452</v>
      </c>
      <c r="F71" s="42" t="s">
        <v>1038</v>
      </c>
      <c r="G71" s="42" t="s">
        <v>1039</v>
      </c>
      <c r="H71" s="42" t="s">
        <v>439</v>
      </c>
      <c r="I71" s="42">
        <v>5921</v>
      </c>
      <c r="J71" s="42" t="s">
        <v>1040</v>
      </c>
      <c r="K71" s="42" t="s">
        <v>1041</v>
      </c>
      <c r="L71" s="42" t="s">
        <v>1042</v>
      </c>
      <c r="M71" s="42" t="s">
        <v>1043</v>
      </c>
      <c r="N71" s="42" t="s">
        <v>1044</v>
      </c>
      <c r="O71" s="42" t="s">
        <v>1045</v>
      </c>
      <c r="P71" s="42" t="s">
        <v>457</v>
      </c>
      <c r="Q71" s="42" t="s">
        <v>1046</v>
      </c>
      <c r="R71" s="42">
        <v>20260603</v>
      </c>
      <c r="S71" s="42" t="s">
        <v>116</v>
      </c>
      <c r="T71" s="42" t="s">
        <v>445</v>
      </c>
      <c r="U71" s="42" t="s">
        <v>120</v>
      </c>
      <c r="V71" s="42">
        <v>7603358283277</v>
      </c>
      <c r="W71" s="42">
        <v>991497823</v>
      </c>
      <c r="X71" s="42" t="s">
        <v>117</v>
      </c>
      <c r="Y71" s="42" t="s">
        <v>742</v>
      </c>
      <c r="Z71" s="42" t="s">
        <v>446</v>
      </c>
      <c r="AA71" s="42" t="s">
        <v>447</v>
      </c>
      <c r="AB71" s="42" t="s">
        <v>121</v>
      </c>
      <c r="AC71" s="42" t="s">
        <v>287</v>
      </c>
      <c r="AD71" s="42"/>
      <c r="AE71" s="42" t="s">
        <v>148</v>
      </c>
      <c r="AF71" s="42" t="s">
        <v>274</v>
      </c>
      <c r="AG71" s="42">
        <v>1128</v>
      </c>
      <c r="AH71" s="42" t="s">
        <v>448</v>
      </c>
      <c r="AI71" s="42" t="s">
        <v>679</v>
      </c>
      <c r="AJ71" s="42" t="s">
        <v>184</v>
      </c>
      <c r="AK71" s="42" t="s">
        <v>449</v>
      </c>
      <c r="AL71" s="42" t="s">
        <v>121</v>
      </c>
      <c r="AM71" s="42"/>
      <c r="AN71" s="42" t="s">
        <v>122</v>
      </c>
      <c r="AO71" s="42" t="s">
        <v>995</v>
      </c>
      <c r="AP71" s="42"/>
      <c r="AQ71" s="42" t="s">
        <v>449</v>
      </c>
      <c r="AR71" s="42" t="s">
        <v>114</v>
      </c>
      <c r="AS71" s="42" t="s">
        <v>114</v>
      </c>
      <c r="AT71" s="42">
        <v>0</v>
      </c>
      <c r="AU71" s="42">
        <v>0</v>
      </c>
      <c r="AV71" s="42"/>
      <c r="AW71" s="42"/>
      <c r="AX71" s="42" t="s">
        <v>287</v>
      </c>
      <c r="AY71" s="42" t="s">
        <v>451</v>
      </c>
      <c r="AZ71" s="42">
        <v>1</v>
      </c>
      <c r="BA71" s="89">
        <v>17702</v>
      </c>
      <c r="BB71" s="89">
        <v>5965</v>
      </c>
      <c r="BC71" s="89">
        <v>17702</v>
      </c>
      <c r="BD71" s="89">
        <v>5965</v>
      </c>
      <c r="BE71" s="89">
        <v>2902</v>
      </c>
      <c r="BF71" s="89">
        <v>1351</v>
      </c>
      <c r="BG71" s="89">
        <v>1551</v>
      </c>
      <c r="BH71" s="125">
        <v>5965</v>
      </c>
      <c r="BI71" s="89">
        <v>0.163936278386623</v>
      </c>
      <c r="BJ71" s="89">
        <v>0.26001676445934618</v>
      </c>
      <c r="BK71" s="89">
        <v>1551</v>
      </c>
      <c r="BL71" s="89">
        <v>1551</v>
      </c>
      <c r="BM71" s="89">
        <v>2902</v>
      </c>
      <c r="BN71" s="89"/>
      <c r="BO71" s="42"/>
      <c r="BP71" s="42"/>
      <c r="BQ71" s="42"/>
      <c r="BR71" s="42">
        <v>202606</v>
      </c>
      <c r="BS71" s="42">
        <v>202606</v>
      </c>
      <c r="BT71" s="89">
        <v>1551</v>
      </c>
      <c r="BU71" s="44">
        <v>0</v>
      </c>
      <c r="BV71" s="44">
        <v>1551</v>
      </c>
    </row>
    <row r="72" spans="1:74" ht="14.25" customHeight="1">
      <c r="A72" s="42">
        <v>5954905</v>
      </c>
      <c r="B72" s="42">
        <v>1</v>
      </c>
      <c r="C72" s="42">
        <v>20614514338</v>
      </c>
      <c r="D72" s="42" t="s">
        <v>119</v>
      </c>
      <c r="E72" s="42" t="s">
        <v>436</v>
      </c>
      <c r="F72" s="42" t="s">
        <v>512</v>
      </c>
      <c r="G72" s="42" t="s">
        <v>438</v>
      </c>
      <c r="H72" s="42" t="s">
        <v>439</v>
      </c>
      <c r="I72" s="42">
        <v>5199</v>
      </c>
      <c r="J72" s="42" t="s">
        <v>536</v>
      </c>
      <c r="K72" s="42" t="s">
        <v>441</v>
      </c>
      <c r="L72" s="42" t="s">
        <v>442</v>
      </c>
      <c r="M72" s="42" t="s">
        <v>122</v>
      </c>
      <c r="N72" s="42" t="s">
        <v>122</v>
      </c>
      <c r="O72" s="42" t="s">
        <v>443</v>
      </c>
      <c r="P72" s="42" t="s">
        <v>122</v>
      </c>
      <c r="Q72" s="42" t="s">
        <v>444</v>
      </c>
      <c r="R72" s="42">
        <v>20260602</v>
      </c>
      <c r="S72" s="42" t="s">
        <v>116</v>
      </c>
      <c r="T72" s="42" t="s">
        <v>445</v>
      </c>
      <c r="U72" s="42" t="s">
        <v>120</v>
      </c>
      <c r="V72" s="42">
        <v>2003008135680</v>
      </c>
      <c r="W72" s="42">
        <v>914022218</v>
      </c>
      <c r="X72" s="42" t="s">
        <v>117</v>
      </c>
      <c r="Y72" s="42" t="s">
        <v>733</v>
      </c>
      <c r="Z72" s="42" t="s">
        <v>446</v>
      </c>
      <c r="AA72" s="42" t="s">
        <v>447</v>
      </c>
      <c r="AB72" s="42" t="s">
        <v>121</v>
      </c>
      <c r="AC72" s="42" t="s">
        <v>225</v>
      </c>
      <c r="AD72" s="42"/>
      <c r="AE72" s="42" t="s">
        <v>148</v>
      </c>
      <c r="AF72" s="42" t="s">
        <v>122</v>
      </c>
      <c r="AG72" s="42">
        <v>1128</v>
      </c>
      <c r="AH72" s="42" t="s">
        <v>448</v>
      </c>
      <c r="AI72" s="42" t="s">
        <v>679</v>
      </c>
      <c r="AJ72" s="42" t="s">
        <v>680</v>
      </c>
      <c r="AK72" s="42" t="s">
        <v>449</v>
      </c>
      <c r="AL72" s="42" t="s">
        <v>121</v>
      </c>
      <c r="AM72" s="42"/>
      <c r="AN72" s="42" t="s">
        <v>122</v>
      </c>
      <c r="AO72" s="42" t="s">
        <v>450</v>
      </c>
      <c r="AP72" s="42"/>
      <c r="AQ72" s="42" t="s">
        <v>449</v>
      </c>
      <c r="AR72" s="42" t="s">
        <v>114</v>
      </c>
      <c r="AS72" s="42" t="s">
        <v>114</v>
      </c>
      <c r="AT72" s="42">
        <v>35910.5</v>
      </c>
      <c r="AU72" s="42">
        <v>27222.5</v>
      </c>
      <c r="AV72" s="42" t="s">
        <v>1052</v>
      </c>
      <c r="AW72" s="42" t="s">
        <v>1052</v>
      </c>
      <c r="AX72" s="42" t="s">
        <v>225</v>
      </c>
      <c r="AY72" s="42" t="s">
        <v>451</v>
      </c>
      <c r="AZ72" s="42">
        <v>1</v>
      </c>
      <c r="BA72" s="89">
        <v>74274.25</v>
      </c>
      <c r="BB72" s="89">
        <v>58876.75</v>
      </c>
      <c r="BC72" s="89">
        <v>47223.25</v>
      </c>
      <c r="BD72" s="89">
        <v>38199.25</v>
      </c>
      <c r="BE72" s="89">
        <v>9125.9958945011203</v>
      </c>
      <c r="BF72" s="89">
        <v>1898.151903458572</v>
      </c>
      <c r="BG72" s="89">
        <v>7227.8439910425486</v>
      </c>
      <c r="BH72" s="125">
        <v>31654.25</v>
      </c>
      <c r="BI72" s="89">
        <v>0.23788070494936289</v>
      </c>
      <c r="BJ72" s="89">
        <v>0.236824021414033</v>
      </c>
      <c r="BK72" s="89">
        <v>7496.4867798451542</v>
      </c>
      <c r="BL72" s="89">
        <v>9046.5</v>
      </c>
      <c r="BM72" s="89">
        <v>11233.5</v>
      </c>
      <c r="BN72" s="89"/>
      <c r="BO72" s="42"/>
      <c r="BP72" s="42"/>
      <c r="BQ72" s="42"/>
      <c r="BR72" s="42">
        <v>202606</v>
      </c>
      <c r="BS72" s="42">
        <v>202606</v>
      </c>
      <c r="BT72" s="89">
        <v>9046.5</v>
      </c>
      <c r="BU72" s="44">
        <v>149.5</v>
      </c>
      <c r="BV72" s="44">
        <v>8897</v>
      </c>
    </row>
    <row r="73" spans="1:74" ht="14.25" customHeight="1">
      <c r="A73" s="42">
        <v>5955519</v>
      </c>
      <c r="B73" s="42">
        <v>1</v>
      </c>
      <c r="C73" s="42">
        <v>20613633601</v>
      </c>
      <c r="D73" s="42" t="s">
        <v>119</v>
      </c>
      <c r="E73" s="42" t="s">
        <v>452</v>
      </c>
      <c r="F73" s="42" t="s">
        <v>1038</v>
      </c>
      <c r="G73" s="42" t="s">
        <v>1039</v>
      </c>
      <c r="H73" s="42" t="s">
        <v>439</v>
      </c>
      <c r="I73" s="42">
        <v>5921</v>
      </c>
      <c r="J73" s="42" t="s">
        <v>1040</v>
      </c>
      <c r="K73" s="42" t="s">
        <v>1041</v>
      </c>
      <c r="L73" s="42" t="s">
        <v>1042</v>
      </c>
      <c r="M73" s="42" t="s">
        <v>1043</v>
      </c>
      <c r="N73" s="42" t="s">
        <v>1044</v>
      </c>
      <c r="O73" s="42" t="s">
        <v>1045</v>
      </c>
      <c r="P73" s="42" t="s">
        <v>457</v>
      </c>
      <c r="Q73" s="42" t="s">
        <v>1046</v>
      </c>
      <c r="R73" s="42">
        <v>20260603</v>
      </c>
      <c r="S73" s="42" t="s">
        <v>116</v>
      </c>
      <c r="T73" s="42" t="s">
        <v>445</v>
      </c>
      <c r="U73" s="42" t="s">
        <v>120</v>
      </c>
      <c r="V73" s="42">
        <v>7603358283277</v>
      </c>
      <c r="W73" s="42">
        <v>991497823</v>
      </c>
      <c r="X73" s="42" t="s">
        <v>117</v>
      </c>
      <c r="Y73" s="42" t="s">
        <v>751</v>
      </c>
      <c r="Z73" s="42" t="s">
        <v>446</v>
      </c>
      <c r="AA73" s="42" t="s">
        <v>447</v>
      </c>
      <c r="AB73" s="42" t="s">
        <v>121</v>
      </c>
      <c r="AC73" s="42" t="s">
        <v>287</v>
      </c>
      <c r="AD73" s="42"/>
      <c r="AE73" s="42" t="s">
        <v>148</v>
      </c>
      <c r="AF73" s="42" t="s">
        <v>274</v>
      </c>
      <c r="AG73" s="42">
        <v>1128</v>
      </c>
      <c r="AH73" s="42" t="s">
        <v>448</v>
      </c>
      <c r="AI73" s="42" t="s">
        <v>679</v>
      </c>
      <c r="AJ73" s="42" t="s">
        <v>184</v>
      </c>
      <c r="AK73" s="42" t="s">
        <v>449</v>
      </c>
      <c r="AL73" s="42" t="s">
        <v>121</v>
      </c>
      <c r="AM73" s="42"/>
      <c r="AN73" s="42" t="s">
        <v>122</v>
      </c>
      <c r="AO73" s="42" t="s">
        <v>995</v>
      </c>
      <c r="AP73" s="42"/>
      <c r="AQ73" s="42" t="s">
        <v>449</v>
      </c>
      <c r="AR73" s="42" t="s">
        <v>114</v>
      </c>
      <c r="AS73" s="42" t="s">
        <v>114</v>
      </c>
      <c r="AT73" s="42">
        <v>0</v>
      </c>
      <c r="AU73" s="42">
        <v>0</v>
      </c>
      <c r="AV73" s="42"/>
      <c r="AW73" s="42"/>
      <c r="AX73" s="42" t="s">
        <v>287</v>
      </c>
      <c r="AY73" s="42" t="s">
        <v>451</v>
      </c>
      <c r="AZ73" s="42">
        <v>1</v>
      </c>
      <c r="BA73" s="89">
        <v>17702</v>
      </c>
      <c r="BB73" s="89">
        <v>5965</v>
      </c>
      <c r="BC73" s="89">
        <v>17702</v>
      </c>
      <c r="BD73" s="89">
        <v>5965</v>
      </c>
      <c r="BE73" s="89">
        <v>116</v>
      </c>
      <c r="BF73" s="89">
        <v>76</v>
      </c>
      <c r="BG73" s="89">
        <v>40</v>
      </c>
      <c r="BH73" s="125">
        <v>5965</v>
      </c>
      <c r="BI73" s="89">
        <v>6.5529318721048472E-3</v>
      </c>
      <c r="BJ73" s="89">
        <v>6.7057837384744343E-3</v>
      </c>
      <c r="BK73" s="89">
        <v>40</v>
      </c>
      <c r="BL73" s="89">
        <v>40</v>
      </c>
      <c r="BM73" s="89">
        <v>116</v>
      </c>
      <c r="BN73" s="89"/>
      <c r="BO73" s="42"/>
      <c r="BP73" s="42"/>
      <c r="BQ73" s="42"/>
      <c r="BR73" s="42">
        <v>202606</v>
      </c>
      <c r="BS73" s="42">
        <v>202606</v>
      </c>
      <c r="BT73" s="89">
        <v>40</v>
      </c>
      <c r="BU73" s="44">
        <v>0</v>
      </c>
      <c r="BV73" s="44">
        <v>40</v>
      </c>
    </row>
    <row r="74" spans="1:74" ht="14.25" customHeight="1">
      <c r="A74" s="42">
        <v>5955516</v>
      </c>
      <c r="B74" s="42">
        <v>1</v>
      </c>
      <c r="C74" s="42">
        <v>20613633601</v>
      </c>
      <c r="D74" s="42" t="s">
        <v>119</v>
      </c>
      <c r="E74" s="42" t="s">
        <v>452</v>
      </c>
      <c r="F74" s="42" t="s">
        <v>1038</v>
      </c>
      <c r="G74" s="42" t="s">
        <v>1039</v>
      </c>
      <c r="H74" s="42" t="s">
        <v>439</v>
      </c>
      <c r="I74" s="42">
        <v>5921</v>
      </c>
      <c r="J74" s="42" t="s">
        <v>1040</v>
      </c>
      <c r="K74" s="42" t="s">
        <v>1041</v>
      </c>
      <c r="L74" s="42" t="s">
        <v>1042</v>
      </c>
      <c r="M74" s="42" t="s">
        <v>1043</v>
      </c>
      <c r="N74" s="42" t="s">
        <v>1044</v>
      </c>
      <c r="O74" s="42" t="s">
        <v>1045</v>
      </c>
      <c r="P74" s="42" t="s">
        <v>457</v>
      </c>
      <c r="Q74" s="42" t="s">
        <v>1046</v>
      </c>
      <c r="R74" s="42">
        <v>20260603</v>
      </c>
      <c r="S74" s="42" t="s">
        <v>116</v>
      </c>
      <c r="T74" s="42" t="s">
        <v>445</v>
      </c>
      <c r="U74" s="42" t="s">
        <v>120</v>
      </c>
      <c r="V74" s="42">
        <v>7603358283277</v>
      </c>
      <c r="W74" s="42">
        <v>991497823</v>
      </c>
      <c r="X74" s="42" t="s">
        <v>117</v>
      </c>
      <c r="Y74" s="42" t="s">
        <v>750</v>
      </c>
      <c r="Z74" s="42" t="s">
        <v>446</v>
      </c>
      <c r="AA74" s="42" t="s">
        <v>447</v>
      </c>
      <c r="AB74" s="42" t="s">
        <v>121</v>
      </c>
      <c r="AC74" s="42" t="s">
        <v>287</v>
      </c>
      <c r="AD74" s="42"/>
      <c r="AE74" s="42" t="s">
        <v>148</v>
      </c>
      <c r="AF74" s="42" t="s">
        <v>274</v>
      </c>
      <c r="AG74" s="42">
        <v>1128</v>
      </c>
      <c r="AH74" s="42" t="s">
        <v>448</v>
      </c>
      <c r="AI74" s="42" t="s">
        <v>679</v>
      </c>
      <c r="AJ74" s="42" t="s">
        <v>184</v>
      </c>
      <c r="AK74" s="42" t="s">
        <v>449</v>
      </c>
      <c r="AL74" s="42" t="s">
        <v>121</v>
      </c>
      <c r="AM74" s="42"/>
      <c r="AN74" s="42" t="s">
        <v>122</v>
      </c>
      <c r="AO74" s="42" t="s">
        <v>995</v>
      </c>
      <c r="AP74" s="42"/>
      <c r="AQ74" s="42" t="s">
        <v>449</v>
      </c>
      <c r="AR74" s="42" t="s">
        <v>114</v>
      </c>
      <c r="AS74" s="42" t="s">
        <v>114</v>
      </c>
      <c r="AT74" s="42">
        <v>0</v>
      </c>
      <c r="AU74" s="42">
        <v>0</v>
      </c>
      <c r="AV74" s="42"/>
      <c r="AW74" s="42"/>
      <c r="AX74" s="42" t="s">
        <v>287</v>
      </c>
      <c r="AY74" s="42" t="s">
        <v>451</v>
      </c>
      <c r="AZ74" s="42">
        <v>1</v>
      </c>
      <c r="BA74" s="89">
        <v>17702</v>
      </c>
      <c r="BB74" s="89">
        <v>5965</v>
      </c>
      <c r="BC74" s="89">
        <v>17702</v>
      </c>
      <c r="BD74" s="89">
        <v>5965</v>
      </c>
      <c r="BE74" s="89">
        <v>4073</v>
      </c>
      <c r="BF74" s="89">
        <v>2899</v>
      </c>
      <c r="BG74" s="89">
        <v>1174</v>
      </c>
      <c r="BH74" s="125">
        <v>5965</v>
      </c>
      <c r="BI74" s="89">
        <v>0.23008699581968139</v>
      </c>
      <c r="BJ74" s="89">
        <v>0.19681475272422461</v>
      </c>
      <c r="BK74" s="89">
        <v>1174</v>
      </c>
      <c r="BL74" s="89">
        <v>1174</v>
      </c>
      <c r="BM74" s="89">
        <v>4073</v>
      </c>
      <c r="BN74" s="89"/>
      <c r="BO74" s="42"/>
      <c r="BP74" s="42"/>
      <c r="BQ74" s="42"/>
      <c r="BR74" s="42">
        <v>202606</v>
      </c>
      <c r="BS74" s="42">
        <v>202606</v>
      </c>
      <c r="BT74" s="89">
        <v>1174</v>
      </c>
      <c r="BU74" s="44">
        <v>0</v>
      </c>
      <c r="BV74" s="44">
        <v>1174</v>
      </c>
    </row>
    <row r="75" spans="1:74" ht="14.25" customHeight="1">
      <c r="A75" s="42">
        <v>5955405</v>
      </c>
      <c r="B75" s="42">
        <v>1</v>
      </c>
      <c r="C75" s="42">
        <v>20612334499</v>
      </c>
      <c r="D75" s="42" t="s">
        <v>119</v>
      </c>
      <c r="E75" s="42" t="s">
        <v>452</v>
      </c>
      <c r="F75" s="42" t="s">
        <v>1059</v>
      </c>
      <c r="G75" s="42" t="s">
        <v>1060</v>
      </c>
      <c r="H75" s="42" t="s">
        <v>439</v>
      </c>
      <c r="I75" s="42">
        <v>5812</v>
      </c>
      <c r="J75" s="42" t="s">
        <v>124</v>
      </c>
      <c r="K75" s="42" t="s">
        <v>1061</v>
      </c>
      <c r="L75" s="42" t="s">
        <v>240</v>
      </c>
      <c r="M75" s="42" t="s">
        <v>240</v>
      </c>
      <c r="N75" s="42" t="s">
        <v>542</v>
      </c>
      <c r="O75" s="42" t="s">
        <v>240</v>
      </c>
      <c r="P75" s="42" t="s">
        <v>457</v>
      </c>
      <c r="Q75" s="42" t="s">
        <v>1062</v>
      </c>
      <c r="R75" s="42">
        <v>20260603</v>
      </c>
      <c r="S75" s="42" t="s">
        <v>116</v>
      </c>
      <c r="T75" s="42" t="s">
        <v>445</v>
      </c>
      <c r="U75" s="42" t="s">
        <v>120</v>
      </c>
      <c r="V75" s="42">
        <v>7003008412264</v>
      </c>
      <c r="W75" s="42">
        <v>913484674</v>
      </c>
      <c r="X75" s="42" t="s">
        <v>117</v>
      </c>
      <c r="Y75" s="42" t="s">
        <v>752</v>
      </c>
      <c r="Z75" s="42" t="s">
        <v>446</v>
      </c>
      <c r="AA75" s="42" t="s">
        <v>447</v>
      </c>
      <c r="AB75" s="42" t="s">
        <v>121</v>
      </c>
      <c r="AC75" s="42" t="s">
        <v>287</v>
      </c>
      <c r="AD75" s="42"/>
      <c r="AE75" s="42" t="s">
        <v>148</v>
      </c>
      <c r="AF75" s="42" t="s">
        <v>240</v>
      </c>
      <c r="AG75" s="42">
        <v>1128</v>
      </c>
      <c r="AH75" s="42" t="s">
        <v>448</v>
      </c>
      <c r="AI75" s="42" t="s">
        <v>679</v>
      </c>
      <c r="AJ75" s="42" t="s">
        <v>184</v>
      </c>
      <c r="AK75" s="42" t="s">
        <v>449</v>
      </c>
      <c r="AL75" s="42" t="s">
        <v>121</v>
      </c>
      <c r="AM75" s="42"/>
      <c r="AN75" s="42" t="s">
        <v>122</v>
      </c>
      <c r="AO75" s="42" t="s">
        <v>995</v>
      </c>
      <c r="AP75" s="42"/>
      <c r="AQ75" s="42" t="s">
        <v>449</v>
      </c>
      <c r="AR75" s="42" t="s">
        <v>114</v>
      </c>
      <c r="AS75" s="42" t="s">
        <v>114</v>
      </c>
      <c r="AT75" s="42">
        <v>0</v>
      </c>
      <c r="AU75" s="42">
        <v>0</v>
      </c>
      <c r="AV75" s="42"/>
      <c r="AW75" s="42"/>
      <c r="AX75" s="42" t="s">
        <v>287</v>
      </c>
      <c r="AY75" s="42" t="s">
        <v>451</v>
      </c>
      <c r="AZ75" s="42">
        <v>1</v>
      </c>
      <c r="BA75" s="89">
        <v>17224.5</v>
      </c>
      <c r="BB75" s="89">
        <v>4915</v>
      </c>
      <c r="BC75" s="89">
        <v>17224.5</v>
      </c>
      <c r="BD75" s="89">
        <v>4915</v>
      </c>
      <c r="BE75" s="89">
        <v>1274</v>
      </c>
      <c r="BF75" s="89">
        <v>831</v>
      </c>
      <c r="BG75" s="89">
        <v>443</v>
      </c>
      <c r="BH75" s="125">
        <v>4915</v>
      </c>
      <c r="BI75" s="89">
        <v>7.3964411158524201E-2</v>
      </c>
      <c r="BJ75" s="89">
        <v>9.0335707019328582E-2</v>
      </c>
      <c r="BK75" s="89">
        <v>444</v>
      </c>
      <c r="BL75" s="89">
        <v>444</v>
      </c>
      <c r="BM75" s="89">
        <v>1274</v>
      </c>
      <c r="BN75" s="89"/>
      <c r="BO75" s="42"/>
      <c r="BP75" s="42"/>
      <c r="BQ75" s="42"/>
      <c r="BR75" s="42">
        <v>202606</v>
      </c>
      <c r="BS75" s="42">
        <v>202606</v>
      </c>
      <c r="BT75" s="89">
        <v>444</v>
      </c>
      <c r="BU75" s="44">
        <v>1</v>
      </c>
      <c r="BV75" s="44">
        <v>443</v>
      </c>
    </row>
    <row r="76" spans="1:74" ht="14.25" customHeight="1">
      <c r="A76" s="42">
        <v>5955472</v>
      </c>
      <c r="B76" s="42">
        <v>1</v>
      </c>
      <c r="C76" s="42">
        <v>20613633601</v>
      </c>
      <c r="D76" s="42" t="s">
        <v>119</v>
      </c>
      <c r="E76" s="42" t="s">
        <v>452</v>
      </c>
      <c r="F76" s="42" t="s">
        <v>1038</v>
      </c>
      <c r="G76" s="42" t="s">
        <v>1039</v>
      </c>
      <c r="H76" s="42" t="s">
        <v>439</v>
      </c>
      <c r="I76" s="42">
        <v>5921</v>
      </c>
      <c r="J76" s="42" t="s">
        <v>1040</v>
      </c>
      <c r="K76" s="42" t="s">
        <v>1041</v>
      </c>
      <c r="L76" s="42" t="s">
        <v>1042</v>
      </c>
      <c r="M76" s="42" t="s">
        <v>1043</v>
      </c>
      <c r="N76" s="42" t="s">
        <v>1044</v>
      </c>
      <c r="O76" s="42" t="s">
        <v>1045</v>
      </c>
      <c r="P76" s="42" t="s">
        <v>457</v>
      </c>
      <c r="Q76" s="42" t="s">
        <v>1046</v>
      </c>
      <c r="R76" s="42">
        <v>20260603</v>
      </c>
      <c r="S76" s="42" t="s">
        <v>116</v>
      </c>
      <c r="T76" s="42" t="s">
        <v>445</v>
      </c>
      <c r="U76" s="42" t="s">
        <v>120</v>
      </c>
      <c r="V76" s="42">
        <v>7603358283277</v>
      </c>
      <c r="W76" s="42">
        <v>991497823</v>
      </c>
      <c r="X76" s="42" t="s">
        <v>117</v>
      </c>
      <c r="Y76" s="42" t="s">
        <v>746</v>
      </c>
      <c r="Z76" s="42" t="s">
        <v>446</v>
      </c>
      <c r="AA76" s="42" t="s">
        <v>447</v>
      </c>
      <c r="AB76" s="42" t="s">
        <v>121</v>
      </c>
      <c r="AC76" s="42" t="s">
        <v>287</v>
      </c>
      <c r="AD76" s="42"/>
      <c r="AE76" s="42" t="s">
        <v>148</v>
      </c>
      <c r="AF76" s="42" t="s">
        <v>274</v>
      </c>
      <c r="AG76" s="42">
        <v>1128</v>
      </c>
      <c r="AH76" s="42" t="s">
        <v>448</v>
      </c>
      <c r="AI76" s="42" t="s">
        <v>679</v>
      </c>
      <c r="AJ76" s="42" t="s">
        <v>184</v>
      </c>
      <c r="AK76" s="42" t="s">
        <v>449</v>
      </c>
      <c r="AL76" s="42" t="s">
        <v>121</v>
      </c>
      <c r="AM76" s="42"/>
      <c r="AN76" s="42" t="s">
        <v>122</v>
      </c>
      <c r="AO76" s="42" t="s">
        <v>995</v>
      </c>
      <c r="AP76" s="42"/>
      <c r="AQ76" s="42" t="s">
        <v>449</v>
      </c>
      <c r="AR76" s="42" t="s">
        <v>114</v>
      </c>
      <c r="AS76" s="42" t="s">
        <v>114</v>
      </c>
      <c r="AT76" s="42">
        <v>0</v>
      </c>
      <c r="AU76" s="42">
        <v>0</v>
      </c>
      <c r="AV76" s="42"/>
      <c r="AW76" s="42"/>
      <c r="AX76" s="42" t="s">
        <v>287</v>
      </c>
      <c r="AY76" s="42" t="s">
        <v>451</v>
      </c>
      <c r="AZ76" s="42">
        <v>1</v>
      </c>
      <c r="BA76" s="89">
        <v>17702</v>
      </c>
      <c r="BB76" s="89">
        <v>5965</v>
      </c>
      <c r="BC76" s="89">
        <v>17702</v>
      </c>
      <c r="BD76" s="89">
        <v>5965</v>
      </c>
      <c r="BE76" s="89">
        <v>1582</v>
      </c>
      <c r="BF76" s="89">
        <v>1061</v>
      </c>
      <c r="BG76" s="89">
        <v>521</v>
      </c>
      <c r="BH76" s="125">
        <v>5965</v>
      </c>
      <c r="BI76" s="89">
        <v>8.9368432945429899E-2</v>
      </c>
      <c r="BJ76" s="89">
        <v>8.734283319362951E-2</v>
      </c>
      <c r="BK76" s="89">
        <v>521</v>
      </c>
      <c r="BL76" s="89">
        <v>521</v>
      </c>
      <c r="BM76" s="89">
        <v>1582</v>
      </c>
      <c r="BN76" s="89"/>
      <c r="BO76" s="42"/>
      <c r="BP76" s="42"/>
      <c r="BQ76" s="42"/>
      <c r="BR76" s="42">
        <v>202606</v>
      </c>
      <c r="BS76" s="42">
        <v>202606</v>
      </c>
      <c r="BT76" s="89">
        <v>521</v>
      </c>
      <c r="BU76" s="44">
        <v>0</v>
      </c>
      <c r="BV76" s="44">
        <v>521</v>
      </c>
    </row>
    <row r="77" spans="1:74" ht="14.25" customHeight="1">
      <c r="A77" s="42">
        <v>5955502</v>
      </c>
      <c r="B77" s="42">
        <v>1</v>
      </c>
      <c r="C77" s="42">
        <v>20613633601</v>
      </c>
      <c r="D77" s="42" t="s">
        <v>119</v>
      </c>
      <c r="E77" s="42" t="s">
        <v>452</v>
      </c>
      <c r="F77" s="42" t="s">
        <v>1038</v>
      </c>
      <c r="G77" s="42" t="s">
        <v>1039</v>
      </c>
      <c r="H77" s="42" t="s">
        <v>439</v>
      </c>
      <c r="I77" s="42">
        <v>5921</v>
      </c>
      <c r="J77" s="42" t="s">
        <v>1040</v>
      </c>
      <c r="K77" s="42" t="s">
        <v>1041</v>
      </c>
      <c r="L77" s="42" t="s">
        <v>1042</v>
      </c>
      <c r="M77" s="42" t="s">
        <v>1043</v>
      </c>
      <c r="N77" s="42" t="s">
        <v>1044</v>
      </c>
      <c r="O77" s="42" t="s">
        <v>1045</v>
      </c>
      <c r="P77" s="42" t="s">
        <v>457</v>
      </c>
      <c r="Q77" s="42" t="s">
        <v>1046</v>
      </c>
      <c r="R77" s="42">
        <v>20260603</v>
      </c>
      <c r="S77" s="42" t="s">
        <v>116</v>
      </c>
      <c r="T77" s="42" t="s">
        <v>445</v>
      </c>
      <c r="U77" s="42" t="s">
        <v>120</v>
      </c>
      <c r="V77" s="42">
        <v>7603358283277</v>
      </c>
      <c r="W77" s="42">
        <v>991497823</v>
      </c>
      <c r="X77" s="42" t="s">
        <v>117</v>
      </c>
      <c r="Y77" s="42" t="s">
        <v>748</v>
      </c>
      <c r="Z77" s="42" t="s">
        <v>446</v>
      </c>
      <c r="AA77" s="42" t="s">
        <v>447</v>
      </c>
      <c r="AB77" s="42" t="s">
        <v>121</v>
      </c>
      <c r="AC77" s="42" t="s">
        <v>287</v>
      </c>
      <c r="AD77" s="42"/>
      <c r="AE77" s="42" t="s">
        <v>148</v>
      </c>
      <c r="AF77" s="42" t="s">
        <v>274</v>
      </c>
      <c r="AG77" s="42">
        <v>1128</v>
      </c>
      <c r="AH77" s="42" t="s">
        <v>448</v>
      </c>
      <c r="AI77" s="42" t="s">
        <v>679</v>
      </c>
      <c r="AJ77" s="42" t="s">
        <v>184</v>
      </c>
      <c r="AK77" s="42" t="s">
        <v>449</v>
      </c>
      <c r="AL77" s="42" t="s">
        <v>121</v>
      </c>
      <c r="AM77" s="42"/>
      <c r="AN77" s="42" t="s">
        <v>122</v>
      </c>
      <c r="AO77" s="42" t="s">
        <v>995</v>
      </c>
      <c r="AP77" s="42"/>
      <c r="AQ77" s="42" t="s">
        <v>449</v>
      </c>
      <c r="AR77" s="42" t="s">
        <v>114</v>
      </c>
      <c r="AS77" s="42" t="s">
        <v>114</v>
      </c>
      <c r="AT77" s="42">
        <v>0</v>
      </c>
      <c r="AU77" s="42">
        <v>0</v>
      </c>
      <c r="AV77" s="42"/>
      <c r="AW77" s="42"/>
      <c r="AX77" s="42" t="s">
        <v>287</v>
      </c>
      <c r="AY77" s="42" t="s">
        <v>451</v>
      </c>
      <c r="AZ77" s="42">
        <v>1</v>
      </c>
      <c r="BA77" s="89">
        <v>17702</v>
      </c>
      <c r="BB77" s="89">
        <v>5965</v>
      </c>
      <c r="BC77" s="89">
        <v>17702</v>
      </c>
      <c r="BD77" s="89">
        <v>5965</v>
      </c>
      <c r="BE77" s="89">
        <v>1623</v>
      </c>
      <c r="BF77" s="89">
        <v>1018</v>
      </c>
      <c r="BG77" s="89">
        <v>605</v>
      </c>
      <c r="BH77" s="125">
        <v>5965</v>
      </c>
      <c r="BI77" s="89">
        <v>9.1684555417466951E-2</v>
      </c>
      <c r="BJ77" s="89">
        <v>0.10142497904442579</v>
      </c>
      <c r="BK77" s="89">
        <v>605</v>
      </c>
      <c r="BL77" s="89">
        <v>605</v>
      </c>
      <c r="BM77" s="89">
        <v>1623</v>
      </c>
      <c r="BN77" s="89"/>
      <c r="BO77" s="42"/>
      <c r="BP77" s="42"/>
      <c r="BQ77" s="42"/>
      <c r="BR77" s="42">
        <v>202606</v>
      </c>
      <c r="BS77" s="42">
        <v>202606</v>
      </c>
      <c r="BT77" s="89">
        <v>605</v>
      </c>
      <c r="BU77" s="44">
        <v>0</v>
      </c>
      <c r="BV77" s="44">
        <v>605</v>
      </c>
    </row>
    <row r="78" spans="1:74" ht="14.25" customHeight="1">
      <c r="A78" s="42">
        <v>5955684</v>
      </c>
      <c r="B78" s="42">
        <v>1</v>
      </c>
      <c r="C78" s="42">
        <v>10078853111</v>
      </c>
      <c r="D78" s="42" t="s">
        <v>119</v>
      </c>
      <c r="E78" s="42" t="s">
        <v>436</v>
      </c>
      <c r="F78" s="42" t="s">
        <v>1063</v>
      </c>
      <c r="G78" s="42" t="s">
        <v>1064</v>
      </c>
      <c r="H78" s="42" t="s">
        <v>439</v>
      </c>
      <c r="I78" s="42">
        <v>1520</v>
      </c>
      <c r="J78" s="42" t="s">
        <v>463</v>
      </c>
      <c r="K78" s="42" t="s">
        <v>1065</v>
      </c>
      <c r="L78" s="42" t="s">
        <v>465</v>
      </c>
      <c r="M78" s="42" t="s">
        <v>122</v>
      </c>
      <c r="N78" s="42" t="s">
        <v>122</v>
      </c>
      <c r="O78" s="42" t="s">
        <v>443</v>
      </c>
      <c r="P78" s="42" t="s">
        <v>122</v>
      </c>
      <c r="Q78" s="42" t="s">
        <v>1066</v>
      </c>
      <c r="R78" s="42">
        <v>20260604</v>
      </c>
      <c r="S78" s="42" t="s">
        <v>116</v>
      </c>
      <c r="T78" s="42" t="s">
        <v>474</v>
      </c>
      <c r="U78" s="42" t="s">
        <v>120</v>
      </c>
      <c r="V78" s="42">
        <v>8983511940003</v>
      </c>
      <c r="W78" s="42">
        <v>969716909</v>
      </c>
      <c r="X78" s="42" t="s">
        <v>117</v>
      </c>
      <c r="Y78" s="42" t="s">
        <v>755</v>
      </c>
      <c r="Z78" s="42" t="s">
        <v>476</v>
      </c>
      <c r="AA78" s="42" t="s">
        <v>447</v>
      </c>
      <c r="AB78" s="42" t="s">
        <v>121</v>
      </c>
      <c r="AC78" s="42" t="s">
        <v>297</v>
      </c>
      <c r="AD78" s="42"/>
      <c r="AE78" s="42" t="s">
        <v>148</v>
      </c>
      <c r="AF78" s="42" t="s">
        <v>122</v>
      </c>
      <c r="AG78" s="42">
        <v>1128</v>
      </c>
      <c r="AH78" s="42" t="s">
        <v>448</v>
      </c>
      <c r="AI78" s="42" t="s">
        <v>679</v>
      </c>
      <c r="AJ78" s="42" t="s">
        <v>680</v>
      </c>
      <c r="AK78" s="42" t="s">
        <v>449</v>
      </c>
      <c r="AL78" s="42" t="s">
        <v>121</v>
      </c>
      <c r="AM78" s="42"/>
      <c r="AN78" s="42" t="s">
        <v>122</v>
      </c>
      <c r="AO78" s="42" t="s">
        <v>1008</v>
      </c>
      <c r="AP78" s="42"/>
      <c r="AQ78" s="42" t="s">
        <v>449</v>
      </c>
      <c r="AR78" s="42" t="s">
        <v>114</v>
      </c>
      <c r="AS78" s="42" t="s">
        <v>114</v>
      </c>
      <c r="AT78" s="42">
        <v>0</v>
      </c>
      <c r="AU78" s="42">
        <v>0</v>
      </c>
      <c r="AV78" s="42"/>
      <c r="AW78" s="42"/>
      <c r="AX78" s="42" t="s">
        <v>297</v>
      </c>
      <c r="AY78" s="42" t="s">
        <v>451</v>
      </c>
      <c r="AZ78" s="42">
        <v>1</v>
      </c>
      <c r="BA78" s="89">
        <v>14293.11</v>
      </c>
      <c r="BB78" s="89">
        <v>10715.11</v>
      </c>
      <c r="BC78" s="89">
        <v>14293.11</v>
      </c>
      <c r="BD78" s="89">
        <v>10715.11</v>
      </c>
      <c r="BE78" s="89">
        <v>3579.01</v>
      </c>
      <c r="BF78" s="89">
        <v>3577</v>
      </c>
      <c r="BG78" s="89">
        <v>2.0100000000002178</v>
      </c>
      <c r="BH78" s="125">
        <v>10715.11</v>
      </c>
      <c r="BI78" s="89">
        <v>0.2504010673674239</v>
      </c>
      <c r="BJ78" s="89">
        <v>2.8091172185819828E-4</v>
      </c>
      <c r="BK78" s="89">
        <v>3.01</v>
      </c>
      <c r="BL78" s="89">
        <v>3.01</v>
      </c>
      <c r="BM78" s="89">
        <v>3579.01</v>
      </c>
      <c r="BN78" s="89" t="s">
        <v>480</v>
      </c>
      <c r="BO78" s="42" t="s">
        <v>480</v>
      </c>
      <c r="BP78" s="42"/>
      <c r="BQ78" s="42"/>
      <c r="BR78" s="42">
        <v>202606</v>
      </c>
      <c r="BS78" s="42">
        <v>202606</v>
      </c>
      <c r="BT78" s="89">
        <v>3.01</v>
      </c>
      <c r="BU78" s="44">
        <v>1</v>
      </c>
      <c r="BV78" s="44">
        <v>2.0099999999999998</v>
      </c>
    </row>
    <row r="79" spans="1:74" ht="14.25" customHeight="1">
      <c r="A79" s="42">
        <v>5955513</v>
      </c>
      <c r="B79" s="42">
        <v>1</v>
      </c>
      <c r="C79" s="42">
        <v>20613633601</v>
      </c>
      <c r="D79" s="42" t="s">
        <v>119</v>
      </c>
      <c r="E79" s="42" t="s">
        <v>452</v>
      </c>
      <c r="F79" s="42" t="s">
        <v>1038</v>
      </c>
      <c r="G79" s="42" t="s">
        <v>1039</v>
      </c>
      <c r="H79" s="42" t="s">
        <v>439</v>
      </c>
      <c r="I79" s="42">
        <v>5921</v>
      </c>
      <c r="J79" s="42" t="s">
        <v>1040</v>
      </c>
      <c r="K79" s="42" t="s">
        <v>1041</v>
      </c>
      <c r="L79" s="42" t="s">
        <v>1042</v>
      </c>
      <c r="M79" s="42" t="s">
        <v>1043</v>
      </c>
      <c r="N79" s="42" t="s">
        <v>1044</v>
      </c>
      <c r="O79" s="42" t="s">
        <v>1045</v>
      </c>
      <c r="P79" s="42" t="s">
        <v>457</v>
      </c>
      <c r="Q79" s="42" t="s">
        <v>1046</v>
      </c>
      <c r="R79" s="42">
        <v>20260603</v>
      </c>
      <c r="S79" s="42" t="s">
        <v>116</v>
      </c>
      <c r="T79" s="42" t="s">
        <v>445</v>
      </c>
      <c r="U79" s="42" t="s">
        <v>120</v>
      </c>
      <c r="V79" s="42">
        <v>7603358283277</v>
      </c>
      <c r="W79" s="42">
        <v>991497823</v>
      </c>
      <c r="X79" s="42" t="s">
        <v>117</v>
      </c>
      <c r="Y79" s="42" t="s">
        <v>749</v>
      </c>
      <c r="Z79" s="42" t="s">
        <v>446</v>
      </c>
      <c r="AA79" s="42" t="s">
        <v>447</v>
      </c>
      <c r="AB79" s="42" t="s">
        <v>121</v>
      </c>
      <c r="AC79" s="42" t="s">
        <v>287</v>
      </c>
      <c r="AD79" s="42"/>
      <c r="AE79" s="42" t="s">
        <v>148</v>
      </c>
      <c r="AF79" s="42" t="s">
        <v>274</v>
      </c>
      <c r="AG79" s="42">
        <v>1128</v>
      </c>
      <c r="AH79" s="42" t="s">
        <v>448</v>
      </c>
      <c r="AI79" s="42" t="s">
        <v>679</v>
      </c>
      <c r="AJ79" s="42" t="s">
        <v>184</v>
      </c>
      <c r="AK79" s="42" t="s">
        <v>449</v>
      </c>
      <c r="AL79" s="42" t="s">
        <v>121</v>
      </c>
      <c r="AM79" s="42"/>
      <c r="AN79" s="42" t="s">
        <v>122</v>
      </c>
      <c r="AO79" s="42" t="s">
        <v>995</v>
      </c>
      <c r="AP79" s="42"/>
      <c r="AQ79" s="42" t="s">
        <v>449</v>
      </c>
      <c r="AR79" s="42" t="s">
        <v>114</v>
      </c>
      <c r="AS79" s="42" t="s">
        <v>114</v>
      </c>
      <c r="AT79" s="42">
        <v>0</v>
      </c>
      <c r="AU79" s="42">
        <v>0</v>
      </c>
      <c r="AV79" s="42"/>
      <c r="AW79" s="42"/>
      <c r="AX79" s="42" t="s">
        <v>287</v>
      </c>
      <c r="AY79" s="42" t="s">
        <v>451</v>
      </c>
      <c r="AZ79" s="42">
        <v>1</v>
      </c>
      <c r="BA79" s="89">
        <v>17702</v>
      </c>
      <c r="BB79" s="89">
        <v>5965</v>
      </c>
      <c r="BC79" s="89">
        <v>17702</v>
      </c>
      <c r="BD79" s="89">
        <v>5965</v>
      </c>
      <c r="BE79" s="89">
        <v>3254</v>
      </c>
      <c r="BF79" s="89">
        <v>2127</v>
      </c>
      <c r="BG79" s="89">
        <v>1127</v>
      </c>
      <c r="BH79" s="125">
        <v>5965</v>
      </c>
      <c r="BI79" s="89">
        <v>0.18382103717094109</v>
      </c>
      <c r="BJ79" s="89">
        <v>0.18893545683151719</v>
      </c>
      <c r="BK79" s="89">
        <v>1127</v>
      </c>
      <c r="BL79" s="89">
        <v>1127</v>
      </c>
      <c r="BM79" s="89">
        <v>3254</v>
      </c>
      <c r="BN79" s="89"/>
      <c r="BO79" s="42"/>
      <c r="BP79" s="42"/>
      <c r="BQ79" s="42"/>
      <c r="BR79" s="42">
        <v>202606</v>
      </c>
      <c r="BS79" s="42">
        <v>202606</v>
      </c>
      <c r="BT79" s="89">
        <v>1127</v>
      </c>
      <c r="BU79" s="44">
        <v>0</v>
      </c>
      <c r="BV79" s="44">
        <v>1127</v>
      </c>
    </row>
    <row r="80" spans="1:74" ht="14.25" customHeight="1">
      <c r="A80" s="42">
        <v>5955807</v>
      </c>
      <c r="B80" s="42">
        <v>1</v>
      </c>
      <c r="C80" s="42">
        <v>10078853111</v>
      </c>
      <c r="D80" s="42" t="s">
        <v>119</v>
      </c>
      <c r="E80" s="42" t="s">
        <v>436</v>
      </c>
      <c r="F80" s="42" t="s">
        <v>1063</v>
      </c>
      <c r="G80" s="42" t="s">
        <v>1064</v>
      </c>
      <c r="H80" s="42" t="s">
        <v>439</v>
      </c>
      <c r="I80" s="42">
        <v>1520</v>
      </c>
      <c r="J80" s="42" t="s">
        <v>463</v>
      </c>
      <c r="K80" s="42" t="s">
        <v>1065</v>
      </c>
      <c r="L80" s="42" t="s">
        <v>465</v>
      </c>
      <c r="M80" s="42" t="s">
        <v>122</v>
      </c>
      <c r="N80" s="42" t="s">
        <v>122</v>
      </c>
      <c r="O80" s="42" t="s">
        <v>443</v>
      </c>
      <c r="P80" s="42" t="s">
        <v>122</v>
      </c>
      <c r="Q80" s="42" t="s">
        <v>1066</v>
      </c>
      <c r="R80" s="42">
        <v>20260604</v>
      </c>
      <c r="S80" s="42" t="s">
        <v>116</v>
      </c>
      <c r="T80" s="42" t="s">
        <v>474</v>
      </c>
      <c r="U80" s="42" t="s">
        <v>120</v>
      </c>
      <c r="V80" s="42">
        <v>8983511940003</v>
      </c>
      <c r="W80" s="42">
        <v>969716909</v>
      </c>
      <c r="X80" s="42" t="s">
        <v>117</v>
      </c>
      <c r="Y80" s="42" t="s">
        <v>758</v>
      </c>
      <c r="Z80" s="42" t="s">
        <v>476</v>
      </c>
      <c r="AA80" s="42" t="s">
        <v>447</v>
      </c>
      <c r="AB80" s="42" t="s">
        <v>121</v>
      </c>
      <c r="AC80" s="42" t="s">
        <v>297</v>
      </c>
      <c r="AD80" s="42"/>
      <c r="AE80" s="42" t="s">
        <v>148</v>
      </c>
      <c r="AF80" s="42" t="s">
        <v>122</v>
      </c>
      <c r="AG80" s="42">
        <v>1128</v>
      </c>
      <c r="AH80" s="42" t="s">
        <v>448</v>
      </c>
      <c r="AI80" s="42" t="s">
        <v>679</v>
      </c>
      <c r="AJ80" s="42" t="s">
        <v>680</v>
      </c>
      <c r="AK80" s="42" t="s">
        <v>449</v>
      </c>
      <c r="AL80" s="42" t="s">
        <v>121</v>
      </c>
      <c r="AM80" s="42"/>
      <c r="AN80" s="42" t="s">
        <v>122</v>
      </c>
      <c r="AO80" s="42" t="s">
        <v>1008</v>
      </c>
      <c r="AP80" s="42"/>
      <c r="AQ80" s="42" t="s">
        <v>449</v>
      </c>
      <c r="AR80" s="42" t="s">
        <v>114</v>
      </c>
      <c r="AS80" s="42" t="s">
        <v>114</v>
      </c>
      <c r="AT80" s="42">
        <v>0</v>
      </c>
      <c r="AU80" s="42">
        <v>0</v>
      </c>
      <c r="AV80" s="42"/>
      <c r="AW80" s="42"/>
      <c r="AX80" s="42" t="s">
        <v>297</v>
      </c>
      <c r="AY80" s="42" t="s">
        <v>451</v>
      </c>
      <c r="AZ80" s="42">
        <v>1</v>
      </c>
      <c r="BA80" s="89">
        <v>14293.11</v>
      </c>
      <c r="BB80" s="89">
        <v>10715.11</v>
      </c>
      <c r="BC80" s="89">
        <v>14293.11</v>
      </c>
      <c r="BD80" s="89">
        <v>10715.11</v>
      </c>
      <c r="BE80" s="89">
        <v>10714.1</v>
      </c>
      <c r="BF80" s="89">
        <v>3.1</v>
      </c>
      <c r="BG80" s="89">
        <v>10711</v>
      </c>
      <c r="BH80" s="125">
        <v>10715.11</v>
      </c>
      <c r="BI80" s="89">
        <v>0.74959893263257615</v>
      </c>
      <c r="BJ80" s="89">
        <v>0.99971908827814182</v>
      </c>
      <c r="BK80" s="89">
        <v>10712.1</v>
      </c>
      <c r="BL80" s="89">
        <v>10712.1</v>
      </c>
      <c r="BM80" s="89">
        <v>10714.1</v>
      </c>
      <c r="BN80" s="89" t="s">
        <v>480</v>
      </c>
      <c r="BO80" s="42" t="s">
        <v>480</v>
      </c>
      <c r="BP80" s="42"/>
      <c r="BQ80" s="42"/>
      <c r="BR80" s="42">
        <v>202606</v>
      </c>
      <c r="BS80" s="42">
        <v>202606</v>
      </c>
      <c r="BT80" s="89">
        <v>10712.1</v>
      </c>
      <c r="BU80" s="44">
        <v>1.1000000000000001</v>
      </c>
      <c r="BV80" s="44">
        <v>10711</v>
      </c>
    </row>
    <row r="81" spans="1:74" ht="14.25" customHeight="1">
      <c r="A81" s="42">
        <v>5956180</v>
      </c>
      <c r="B81" s="42">
        <v>1</v>
      </c>
      <c r="C81" s="42">
        <v>20615897435</v>
      </c>
      <c r="D81" s="42" t="s">
        <v>119</v>
      </c>
      <c r="E81" s="42" t="s">
        <v>436</v>
      </c>
      <c r="F81" s="42" t="s">
        <v>1079</v>
      </c>
      <c r="G81" s="42" t="s">
        <v>1080</v>
      </c>
      <c r="H81" s="42" t="s">
        <v>439</v>
      </c>
      <c r="I81" s="42">
        <v>7230</v>
      </c>
      <c r="J81" s="42" t="s">
        <v>588</v>
      </c>
      <c r="K81" s="42" t="s">
        <v>1081</v>
      </c>
      <c r="L81" s="42" t="s">
        <v>240</v>
      </c>
      <c r="M81" s="42" t="s">
        <v>240</v>
      </c>
      <c r="N81" s="42" t="s">
        <v>542</v>
      </c>
      <c r="O81" s="42" t="s">
        <v>240</v>
      </c>
      <c r="P81" s="42" t="s">
        <v>457</v>
      </c>
      <c r="Q81" s="42" t="s">
        <v>1082</v>
      </c>
      <c r="R81" s="42">
        <v>20260605</v>
      </c>
      <c r="S81" s="42" t="s">
        <v>116</v>
      </c>
      <c r="T81" s="42" t="s">
        <v>445</v>
      </c>
      <c r="U81" s="42" t="s">
        <v>120</v>
      </c>
      <c r="V81" s="42">
        <v>7003008318160</v>
      </c>
      <c r="W81" s="42">
        <v>913484674</v>
      </c>
      <c r="X81" s="42" t="s">
        <v>117</v>
      </c>
      <c r="Y81" s="42" t="s">
        <v>780</v>
      </c>
      <c r="Z81" s="42" t="s">
        <v>446</v>
      </c>
      <c r="AA81" s="42" t="s">
        <v>447</v>
      </c>
      <c r="AB81" s="42" t="s">
        <v>121</v>
      </c>
      <c r="AC81" s="42" t="s">
        <v>287</v>
      </c>
      <c r="AD81" s="42"/>
      <c r="AE81" s="42" t="s">
        <v>148</v>
      </c>
      <c r="AF81" s="42" t="s">
        <v>240</v>
      </c>
      <c r="AG81" s="42">
        <v>1128</v>
      </c>
      <c r="AH81" s="42" t="s">
        <v>448</v>
      </c>
      <c r="AI81" s="42" t="s">
        <v>679</v>
      </c>
      <c r="AJ81" s="42" t="s">
        <v>184</v>
      </c>
      <c r="AK81" s="42" t="s">
        <v>449</v>
      </c>
      <c r="AL81" s="42" t="s">
        <v>121</v>
      </c>
      <c r="AM81" s="42"/>
      <c r="AN81" s="42" t="s">
        <v>122</v>
      </c>
      <c r="AO81" s="42" t="s">
        <v>995</v>
      </c>
      <c r="AP81" s="42"/>
      <c r="AQ81" s="42" t="s">
        <v>449</v>
      </c>
      <c r="AR81" s="42" t="s">
        <v>114</v>
      </c>
      <c r="AS81" s="42" t="s">
        <v>114</v>
      </c>
      <c r="AT81" s="42">
        <v>0</v>
      </c>
      <c r="AU81" s="42">
        <v>0</v>
      </c>
      <c r="AV81" s="42"/>
      <c r="AW81" s="42"/>
      <c r="AX81" s="42" t="s">
        <v>287</v>
      </c>
      <c r="AY81" s="42" t="s">
        <v>451</v>
      </c>
      <c r="AZ81" s="42">
        <v>1</v>
      </c>
      <c r="BA81" s="89">
        <v>101.2</v>
      </c>
      <c r="BB81" s="89">
        <v>51.2</v>
      </c>
      <c r="BC81" s="89">
        <v>101.2</v>
      </c>
      <c r="BD81" s="89">
        <v>51.2</v>
      </c>
      <c r="BE81" s="89">
        <v>101.2</v>
      </c>
      <c r="BF81" s="89">
        <v>50</v>
      </c>
      <c r="BG81" s="89">
        <v>51.2</v>
      </c>
      <c r="BH81" s="125">
        <v>51.2</v>
      </c>
      <c r="BI81" s="89">
        <v>1</v>
      </c>
      <c r="BJ81" s="89">
        <v>1</v>
      </c>
      <c r="BK81" s="89">
        <v>51.2</v>
      </c>
      <c r="BL81" s="89">
        <v>51.2</v>
      </c>
      <c r="BM81" s="89">
        <v>101.2</v>
      </c>
      <c r="BN81" s="89"/>
      <c r="BO81" s="42"/>
      <c r="BP81" s="42"/>
      <c r="BQ81" s="42"/>
      <c r="BR81" s="42">
        <v>202606</v>
      </c>
      <c r="BS81" s="42">
        <v>202606</v>
      </c>
      <c r="BT81" s="89">
        <v>51.2</v>
      </c>
      <c r="BU81" s="44">
        <v>0</v>
      </c>
      <c r="BV81" s="44">
        <v>51.2</v>
      </c>
    </row>
    <row r="82" spans="1:74" ht="14.25" customHeight="1">
      <c r="A82" s="42">
        <v>5957105</v>
      </c>
      <c r="B82" s="42">
        <v>1</v>
      </c>
      <c r="C82" s="42">
        <v>20605346392</v>
      </c>
      <c r="D82" s="42" t="s">
        <v>119</v>
      </c>
      <c r="E82" s="42" t="s">
        <v>436</v>
      </c>
      <c r="F82" s="42" t="s">
        <v>1073</v>
      </c>
      <c r="G82" s="42" t="s">
        <v>811</v>
      </c>
      <c r="H82" s="42" t="s">
        <v>439</v>
      </c>
      <c r="I82" s="42">
        <v>5331</v>
      </c>
      <c r="J82" s="42" t="s">
        <v>1074</v>
      </c>
      <c r="K82" s="42" t="s">
        <v>1083</v>
      </c>
      <c r="L82" s="42" t="s">
        <v>122</v>
      </c>
      <c r="M82" s="42" t="s">
        <v>122</v>
      </c>
      <c r="N82" s="42" t="s">
        <v>122</v>
      </c>
      <c r="O82" s="42" t="s">
        <v>443</v>
      </c>
      <c r="P82" s="42" t="s">
        <v>122</v>
      </c>
      <c r="Q82" s="42" t="s">
        <v>1076</v>
      </c>
      <c r="R82" s="42">
        <v>20260608</v>
      </c>
      <c r="S82" s="42" t="s">
        <v>116</v>
      </c>
      <c r="T82" s="42" t="s">
        <v>445</v>
      </c>
      <c r="U82" s="42" t="s">
        <v>120</v>
      </c>
      <c r="V82" s="42">
        <v>2003004066128</v>
      </c>
      <c r="W82" s="42">
        <v>976353504</v>
      </c>
      <c r="X82" s="42" t="s">
        <v>117</v>
      </c>
      <c r="Y82" s="42" t="s">
        <v>813</v>
      </c>
      <c r="Z82" s="42" t="s">
        <v>446</v>
      </c>
      <c r="AA82" s="42" t="s">
        <v>447</v>
      </c>
      <c r="AB82" s="42" t="s">
        <v>121</v>
      </c>
      <c r="AC82" s="42" t="s">
        <v>200</v>
      </c>
      <c r="AD82" s="42"/>
      <c r="AE82" s="42" t="s">
        <v>148</v>
      </c>
      <c r="AF82" s="42" t="s">
        <v>122</v>
      </c>
      <c r="AG82" s="42">
        <v>1128</v>
      </c>
      <c r="AH82" s="42" t="s">
        <v>448</v>
      </c>
      <c r="AI82" s="42" t="s">
        <v>679</v>
      </c>
      <c r="AJ82" s="42" t="s">
        <v>184</v>
      </c>
      <c r="AK82" s="42" t="s">
        <v>449</v>
      </c>
      <c r="AL82" s="42" t="s">
        <v>121</v>
      </c>
      <c r="AM82" s="42"/>
      <c r="AN82" s="42" t="s">
        <v>122</v>
      </c>
      <c r="AO82" s="42" t="s">
        <v>581</v>
      </c>
      <c r="AP82" s="42"/>
      <c r="AQ82" s="42" t="s">
        <v>449</v>
      </c>
      <c r="AR82" s="42" t="s">
        <v>114</v>
      </c>
      <c r="AS82" s="42" t="s">
        <v>114</v>
      </c>
      <c r="AT82" s="42">
        <v>0</v>
      </c>
      <c r="AU82" s="42">
        <v>0</v>
      </c>
      <c r="AV82" s="42" t="s">
        <v>1077</v>
      </c>
      <c r="AW82" s="42" t="s">
        <v>1078</v>
      </c>
      <c r="AX82" s="42" t="s">
        <v>200</v>
      </c>
      <c r="AY82" s="42" t="s">
        <v>451</v>
      </c>
      <c r="AZ82" s="42">
        <v>1</v>
      </c>
      <c r="BA82" s="89">
        <v>376618.92</v>
      </c>
      <c r="BB82" s="89">
        <v>52166.460000000006</v>
      </c>
      <c r="BC82" s="89">
        <v>376618.92</v>
      </c>
      <c r="BD82" s="89">
        <v>52166.460000000006</v>
      </c>
      <c r="BE82" s="89">
        <v>74433.009999999995</v>
      </c>
      <c r="BF82" s="89">
        <v>63774.7</v>
      </c>
      <c r="BG82" s="89">
        <v>10658.31</v>
      </c>
      <c r="BH82" s="125">
        <v>52166.460000000006</v>
      </c>
      <c r="BI82" s="89">
        <v>0.1976348134607788</v>
      </c>
      <c r="BJ82" s="89">
        <v>0.20431346117792931</v>
      </c>
      <c r="BK82" s="89">
        <v>10658.31</v>
      </c>
      <c r="BL82" s="89">
        <v>10658.31</v>
      </c>
      <c r="BM82" s="89">
        <v>74433.009999999995</v>
      </c>
      <c r="BN82" s="89" t="s">
        <v>461</v>
      </c>
      <c r="BO82" s="42" t="s">
        <v>461</v>
      </c>
      <c r="BP82" s="42"/>
      <c r="BQ82" s="42"/>
      <c r="BR82" s="42">
        <v>202606</v>
      </c>
      <c r="BS82" s="42">
        <v>202606</v>
      </c>
      <c r="BT82" s="89">
        <v>10658.31</v>
      </c>
      <c r="BU82" s="44">
        <v>0</v>
      </c>
      <c r="BV82" s="44">
        <v>10658.31</v>
      </c>
    </row>
    <row r="83" spans="1:74" ht="14.25" customHeight="1">
      <c r="A83" s="42">
        <v>5957115</v>
      </c>
      <c r="B83" s="42">
        <v>1</v>
      </c>
      <c r="C83" s="42">
        <v>20605346392</v>
      </c>
      <c r="D83" s="42" t="s">
        <v>119</v>
      </c>
      <c r="E83" s="42" t="s">
        <v>436</v>
      </c>
      <c r="F83" s="42" t="s">
        <v>1073</v>
      </c>
      <c r="G83" s="42" t="s">
        <v>811</v>
      </c>
      <c r="H83" s="42" t="s">
        <v>439</v>
      </c>
      <c r="I83" s="42">
        <v>5331</v>
      </c>
      <c r="J83" s="42" t="s">
        <v>1074</v>
      </c>
      <c r="K83" s="42" t="s">
        <v>1075</v>
      </c>
      <c r="L83" s="42" t="s">
        <v>122</v>
      </c>
      <c r="M83" s="42" t="s">
        <v>122</v>
      </c>
      <c r="N83" s="42" t="s">
        <v>122</v>
      </c>
      <c r="O83" s="42" t="s">
        <v>443</v>
      </c>
      <c r="P83" s="42" t="s">
        <v>122</v>
      </c>
      <c r="Q83" s="42" t="s">
        <v>1076</v>
      </c>
      <c r="R83" s="42">
        <v>20260608</v>
      </c>
      <c r="S83" s="42" t="s">
        <v>116</v>
      </c>
      <c r="T83" s="42" t="s">
        <v>445</v>
      </c>
      <c r="U83" s="42" t="s">
        <v>120</v>
      </c>
      <c r="V83" s="42">
        <v>2003004066128</v>
      </c>
      <c r="W83" s="42">
        <v>976353504</v>
      </c>
      <c r="X83" s="42" t="s">
        <v>117</v>
      </c>
      <c r="Y83" s="42" t="s">
        <v>810</v>
      </c>
      <c r="Z83" s="42" t="s">
        <v>446</v>
      </c>
      <c r="AA83" s="42" t="s">
        <v>447</v>
      </c>
      <c r="AB83" s="42" t="s">
        <v>121</v>
      </c>
      <c r="AC83" s="42" t="s">
        <v>200</v>
      </c>
      <c r="AD83" s="42"/>
      <c r="AE83" s="42" t="s">
        <v>148</v>
      </c>
      <c r="AF83" s="42" t="s">
        <v>122</v>
      </c>
      <c r="AG83" s="42">
        <v>1128</v>
      </c>
      <c r="AH83" s="42" t="s">
        <v>448</v>
      </c>
      <c r="AI83" s="42" t="s">
        <v>679</v>
      </c>
      <c r="AJ83" s="42" t="s">
        <v>184</v>
      </c>
      <c r="AK83" s="42" t="s">
        <v>449</v>
      </c>
      <c r="AL83" s="42" t="s">
        <v>121</v>
      </c>
      <c r="AM83" s="42"/>
      <c r="AN83" s="42" t="s">
        <v>122</v>
      </c>
      <c r="AO83" s="42" t="s">
        <v>581</v>
      </c>
      <c r="AP83" s="42"/>
      <c r="AQ83" s="42" t="s">
        <v>449</v>
      </c>
      <c r="AR83" s="42" t="s">
        <v>114</v>
      </c>
      <c r="AS83" s="42" t="s">
        <v>114</v>
      </c>
      <c r="AT83" s="42">
        <v>0</v>
      </c>
      <c r="AU83" s="42">
        <v>0</v>
      </c>
      <c r="AV83" s="42" t="s">
        <v>1077</v>
      </c>
      <c r="AW83" s="42" t="s">
        <v>1078</v>
      </c>
      <c r="AX83" s="42" t="s">
        <v>200</v>
      </c>
      <c r="AY83" s="42" t="s">
        <v>451</v>
      </c>
      <c r="AZ83" s="42">
        <v>1</v>
      </c>
      <c r="BA83" s="89">
        <v>376618.92</v>
      </c>
      <c r="BB83" s="89">
        <v>52166.460000000006</v>
      </c>
      <c r="BC83" s="89">
        <v>376618.92</v>
      </c>
      <c r="BD83" s="89">
        <v>52166.460000000006</v>
      </c>
      <c r="BE83" s="89">
        <v>44308.87</v>
      </c>
      <c r="BF83" s="89">
        <v>37588</v>
      </c>
      <c r="BG83" s="89">
        <v>6720.8700000000026</v>
      </c>
      <c r="BH83" s="125">
        <v>52166.460000000006</v>
      </c>
      <c r="BI83" s="89">
        <v>0.1176490814640964</v>
      </c>
      <c r="BJ83" s="89">
        <v>0.12883507909104819</v>
      </c>
      <c r="BK83" s="89">
        <v>6720.8700000000008</v>
      </c>
      <c r="BL83" s="89">
        <v>6720.8700000000008</v>
      </c>
      <c r="BM83" s="89">
        <v>44308.87</v>
      </c>
      <c r="BN83" s="89" t="s">
        <v>461</v>
      </c>
      <c r="BO83" s="42" t="s">
        <v>461</v>
      </c>
      <c r="BP83" s="42"/>
      <c r="BQ83" s="42"/>
      <c r="BR83" s="42">
        <v>202606</v>
      </c>
      <c r="BS83" s="42">
        <v>202606</v>
      </c>
      <c r="BT83" s="89">
        <v>6720.87</v>
      </c>
      <c r="BU83" s="44">
        <v>0</v>
      </c>
      <c r="BV83" s="44">
        <v>6720.87</v>
      </c>
    </row>
    <row r="84" spans="1:74" ht="14.25" customHeight="1">
      <c r="A84" s="42">
        <v>5957110</v>
      </c>
      <c r="B84" s="42">
        <v>1</v>
      </c>
      <c r="C84" s="42">
        <v>20605346392</v>
      </c>
      <c r="D84" s="42" t="s">
        <v>119</v>
      </c>
      <c r="E84" s="42" t="s">
        <v>436</v>
      </c>
      <c r="F84" s="42" t="s">
        <v>1073</v>
      </c>
      <c r="G84" s="42" t="s">
        <v>811</v>
      </c>
      <c r="H84" s="42" t="s">
        <v>439</v>
      </c>
      <c r="I84" s="42">
        <v>5331</v>
      </c>
      <c r="J84" s="42" t="s">
        <v>1074</v>
      </c>
      <c r="K84" s="42" t="s">
        <v>1075</v>
      </c>
      <c r="L84" s="42" t="s">
        <v>122</v>
      </c>
      <c r="M84" s="42" t="s">
        <v>122</v>
      </c>
      <c r="N84" s="42" t="s">
        <v>122</v>
      </c>
      <c r="O84" s="42" t="s">
        <v>443</v>
      </c>
      <c r="P84" s="42" t="s">
        <v>122</v>
      </c>
      <c r="Q84" s="42" t="s">
        <v>1076</v>
      </c>
      <c r="R84" s="42">
        <v>20260608</v>
      </c>
      <c r="S84" s="42" t="s">
        <v>116</v>
      </c>
      <c r="T84" s="42" t="s">
        <v>445</v>
      </c>
      <c r="U84" s="42" t="s">
        <v>120</v>
      </c>
      <c r="V84" s="42">
        <v>2003004066128</v>
      </c>
      <c r="W84" s="42">
        <v>976353504</v>
      </c>
      <c r="X84" s="42" t="s">
        <v>117</v>
      </c>
      <c r="Y84" s="42" t="s">
        <v>814</v>
      </c>
      <c r="Z84" s="42" t="s">
        <v>446</v>
      </c>
      <c r="AA84" s="42" t="s">
        <v>447</v>
      </c>
      <c r="AB84" s="42" t="s">
        <v>121</v>
      </c>
      <c r="AC84" s="42" t="s">
        <v>200</v>
      </c>
      <c r="AD84" s="42"/>
      <c r="AE84" s="42" t="s">
        <v>148</v>
      </c>
      <c r="AF84" s="42" t="s">
        <v>122</v>
      </c>
      <c r="AG84" s="42">
        <v>1128</v>
      </c>
      <c r="AH84" s="42" t="s">
        <v>448</v>
      </c>
      <c r="AI84" s="42" t="s">
        <v>679</v>
      </c>
      <c r="AJ84" s="42" t="s">
        <v>184</v>
      </c>
      <c r="AK84" s="42" t="s">
        <v>449</v>
      </c>
      <c r="AL84" s="42" t="s">
        <v>121</v>
      </c>
      <c r="AM84" s="42"/>
      <c r="AN84" s="42" t="s">
        <v>122</v>
      </c>
      <c r="AO84" s="42" t="s">
        <v>581</v>
      </c>
      <c r="AP84" s="42"/>
      <c r="AQ84" s="42" t="s">
        <v>449</v>
      </c>
      <c r="AR84" s="42" t="s">
        <v>114</v>
      </c>
      <c r="AS84" s="42" t="s">
        <v>114</v>
      </c>
      <c r="AT84" s="42">
        <v>0</v>
      </c>
      <c r="AU84" s="42">
        <v>0</v>
      </c>
      <c r="AV84" s="42" t="s">
        <v>1077</v>
      </c>
      <c r="AW84" s="42" t="s">
        <v>1078</v>
      </c>
      <c r="AX84" s="42" t="s">
        <v>200</v>
      </c>
      <c r="AY84" s="42" t="s">
        <v>451</v>
      </c>
      <c r="AZ84" s="42">
        <v>1</v>
      </c>
      <c r="BA84" s="89">
        <v>376618.92</v>
      </c>
      <c r="BB84" s="89">
        <v>52166.460000000006</v>
      </c>
      <c r="BC84" s="89">
        <v>376618.92</v>
      </c>
      <c r="BD84" s="89">
        <v>52166.460000000006</v>
      </c>
      <c r="BE84" s="89">
        <v>114579.79</v>
      </c>
      <c r="BF84" s="89">
        <v>104727.56</v>
      </c>
      <c r="BG84" s="89">
        <v>9852.2299999999959</v>
      </c>
      <c r="BH84" s="125">
        <v>52166.460000000006</v>
      </c>
      <c r="BI84" s="89">
        <v>0.30423269760318988</v>
      </c>
      <c r="BJ84" s="89">
        <v>0.18886138718249229</v>
      </c>
      <c r="BK84" s="89">
        <v>9852.2299999999977</v>
      </c>
      <c r="BL84" s="89">
        <v>9852.2299999999977</v>
      </c>
      <c r="BM84" s="89">
        <v>114579.79</v>
      </c>
      <c r="BN84" s="89" t="s">
        <v>461</v>
      </c>
      <c r="BO84" s="42" t="s">
        <v>461</v>
      </c>
      <c r="BP84" s="42"/>
      <c r="BQ84" s="42"/>
      <c r="BR84" s="42">
        <v>202606</v>
      </c>
      <c r="BS84" s="42">
        <v>202606</v>
      </c>
      <c r="BT84" s="89">
        <v>9852.23</v>
      </c>
      <c r="BU84" s="44">
        <v>0</v>
      </c>
      <c r="BV84" s="44">
        <v>9852.23</v>
      </c>
    </row>
    <row r="85" spans="1:74" ht="14.25" customHeight="1">
      <c r="A85" s="42">
        <v>5957126</v>
      </c>
      <c r="B85" s="42">
        <v>1</v>
      </c>
      <c r="C85" s="42">
        <v>20605346392</v>
      </c>
      <c r="D85" s="42" t="s">
        <v>119</v>
      </c>
      <c r="E85" s="42" t="s">
        <v>436</v>
      </c>
      <c r="F85" s="42" t="s">
        <v>1073</v>
      </c>
      <c r="G85" s="42" t="s">
        <v>811</v>
      </c>
      <c r="H85" s="42" t="s">
        <v>439</v>
      </c>
      <c r="I85" s="42">
        <v>5331</v>
      </c>
      <c r="J85" s="42" t="s">
        <v>1074</v>
      </c>
      <c r="K85" s="42" t="s">
        <v>1075</v>
      </c>
      <c r="L85" s="42" t="s">
        <v>122</v>
      </c>
      <c r="M85" s="42" t="s">
        <v>122</v>
      </c>
      <c r="N85" s="42" t="s">
        <v>122</v>
      </c>
      <c r="O85" s="42" t="s">
        <v>443</v>
      </c>
      <c r="P85" s="42" t="s">
        <v>122</v>
      </c>
      <c r="Q85" s="42" t="s">
        <v>1076</v>
      </c>
      <c r="R85" s="42">
        <v>20260608</v>
      </c>
      <c r="S85" s="42" t="s">
        <v>116</v>
      </c>
      <c r="T85" s="42" t="s">
        <v>445</v>
      </c>
      <c r="U85" s="42" t="s">
        <v>120</v>
      </c>
      <c r="V85" s="42">
        <v>2003004066128</v>
      </c>
      <c r="W85" s="42">
        <v>976353504</v>
      </c>
      <c r="X85" s="42" t="s">
        <v>117</v>
      </c>
      <c r="Y85" s="42" t="s">
        <v>815</v>
      </c>
      <c r="Z85" s="42" t="s">
        <v>446</v>
      </c>
      <c r="AA85" s="42" t="s">
        <v>447</v>
      </c>
      <c r="AB85" s="42" t="s">
        <v>121</v>
      </c>
      <c r="AC85" s="42" t="s">
        <v>200</v>
      </c>
      <c r="AD85" s="42"/>
      <c r="AE85" s="42" t="s">
        <v>148</v>
      </c>
      <c r="AF85" s="42" t="s">
        <v>122</v>
      </c>
      <c r="AG85" s="42">
        <v>1128</v>
      </c>
      <c r="AH85" s="42" t="s">
        <v>448</v>
      </c>
      <c r="AI85" s="42" t="s">
        <v>679</v>
      </c>
      <c r="AJ85" s="42" t="s">
        <v>184</v>
      </c>
      <c r="AK85" s="42" t="s">
        <v>449</v>
      </c>
      <c r="AL85" s="42" t="s">
        <v>121</v>
      </c>
      <c r="AM85" s="42"/>
      <c r="AN85" s="42" t="s">
        <v>122</v>
      </c>
      <c r="AO85" s="42" t="s">
        <v>581</v>
      </c>
      <c r="AP85" s="42"/>
      <c r="AQ85" s="42" t="s">
        <v>449</v>
      </c>
      <c r="AR85" s="42" t="s">
        <v>114</v>
      </c>
      <c r="AS85" s="42" t="s">
        <v>114</v>
      </c>
      <c r="AT85" s="42">
        <v>0</v>
      </c>
      <c r="AU85" s="42">
        <v>0</v>
      </c>
      <c r="AV85" s="42" t="s">
        <v>1077</v>
      </c>
      <c r="AW85" s="42" t="s">
        <v>1078</v>
      </c>
      <c r="AX85" s="42" t="s">
        <v>200</v>
      </c>
      <c r="AY85" s="42" t="s">
        <v>451</v>
      </c>
      <c r="AZ85" s="42">
        <v>1</v>
      </c>
      <c r="BA85" s="89">
        <v>376618.92</v>
      </c>
      <c r="BB85" s="89">
        <v>52166.460000000006</v>
      </c>
      <c r="BC85" s="89">
        <v>376618.92</v>
      </c>
      <c r="BD85" s="89">
        <v>52166.460000000006</v>
      </c>
      <c r="BE85" s="89">
        <v>81010.11</v>
      </c>
      <c r="BF85" s="89">
        <v>68017.5</v>
      </c>
      <c r="BG85" s="89">
        <v>12992.61</v>
      </c>
      <c r="BH85" s="125">
        <v>52166.460000000006</v>
      </c>
      <c r="BI85" s="89">
        <v>0.21509835459142621</v>
      </c>
      <c r="BJ85" s="89">
        <v>0.24906060330718241</v>
      </c>
      <c r="BK85" s="89">
        <v>12992.61</v>
      </c>
      <c r="BL85" s="89">
        <v>12992.61</v>
      </c>
      <c r="BM85" s="89">
        <v>81010.11</v>
      </c>
      <c r="BN85" s="89" t="s">
        <v>461</v>
      </c>
      <c r="BO85" s="42" t="s">
        <v>461</v>
      </c>
      <c r="BP85" s="42"/>
      <c r="BQ85" s="42"/>
      <c r="BR85" s="42">
        <v>202606</v>
      </c>
      <c r="BS85" s="42">
        <v>202606</v>
      </c>
      <c r="BT85" s="89">
        <v>12992.61</v>
      </c>
      <c r="BU85" s="44">
        <v>0</v>
      </c>
      <c r="BV85" s="44">
        <v>12992.61</v>
      </c>
    </row>
    <row r="86" spans="1:74" ht="14.25" customHeight="1">
      <c r="A86" s="42">
        <v>5957745</v>
      </c>
      <c r="B86" s="42">
        <v>1</v>
      </c>
      <c r="C86" s="42">
        <v>20612334499</v>
      </c>
      <c r="D86" s="42" t="s">
        <v>119</v>
      </c>
      <c r="E86" s="42" t="s">
        <v>452</v>
      </c>
      <c r="F86" s="42" t="s">
        <v>1059</v>
      </c>
      <c r="G86" s="42" t="s">
        <v>1060</v>
      </c>
      <c r="H86" s="42" t="s">
        <v>439</v>
      </c>
      <c r="I86" s="42">
        <v>5812</v>
      </c>
      <c r="J86" s="42" t="s">
        <v>124</v>
      </c>
      <c r="K86" s="42" t="s">
        <v>1135</v>
      </c>
      <c r="L86" s="42" t="s">
        <v>240</v>
      </c>
      <c r="M86" s="42" t="s">
        <v>240</v>
      </c>
      <c r="N86" s="42" t="s">
        <v>542</v>
      </c>
      <c r="O86" s="42" t="s">
        <v>240</v>
      </c>
      <c r="P86" s="42" t="s">
        <v>457</v>
      </c>
      <c r="Q86" s="42" t="s">
        <v>1136</v>
      </c>
      <c r="R86" s="42">
        <v>20260609</v>
      </c>
      <c r="S86" s="42" t="s">
        <v>116</v>
      </c>
      <c r="T86" s="42" t="s">
        <v>445</v>
      </c>
      <c r="U86" s="42" t="s">
        <v>120</v>
      </c>
      <c r="V86" s="42">
        <v>7003008446819</v>
      </c>
      <c r="W86" s="42">
        <v>913484674</v>
      </c>
      <c r="X86" s="42" t="s">
        <v>117</v>
      </c>
      <c r="Y86" s="42" t="s">
        <v>820</v>
      </c>
      <c r="Z86" s="42" t="s">
        <v>446</v>
      </c>
      <c r="AA86" s="42" t="s">
        <v>447</v>
      </c>
      <c r="AB86" s="42" t="s">
        <v>121</v>
      </c>
      <c r="AC86" s="42" t="s">
        <v>287</v>
      </c>
      <c r="AD86" s="42"/>
      <c r="AE86" s="42" t="s">
        <v>148</v>
      </c>
      <c r="AF86" s="42" t="s">
        <v>240</v>
      </c>
      <c r="AG86" s="42">
        <v>1128</v>
      </c>
      <c r="AH86" s="42" t="s">
        <v>448</v>
      </c>
      <c r="AI86" s="42" t="s">
        <v>679</v>
      </c>
      <c r="AJ86" s="42" t="s">
        <v>184</v>
      </c>
      <c r="AK86" s="42" t="s">
        <v>449</v>
      </c>
      <c r="AL86" s="42" t="s">
        <v>121</v>
      </c>
      <c r="AM86" s="42"/>
      <c r="AN86" s="42" t="s">
        <v>122</v>
      </c>
      <c r="AO86" s="42" t="s">
        <v>995</v>
      </c>
      <c r="AP86" s="42"/>
      <c r="AQ86" s="42" t="s">
        <v>449</v>
      </c>
      <c r="AR86" s="42" t="s">
        <v>114</v>
      </c>
      <c r="AS86" s="42" t="s">
        <v>114</v>
      </c>
      <c r="AT86" s="42">
        <v>0</v>
      </c>
      <c r="AU86" s="42">
        <v>0</v>
      </c>
      <c r="AV86" s="42"/>
      <c r="AW86" s="42"/>
      <c r="AX86" s="42" t="s">
        <v>287</v>
      </c>
      <c r="AY86" s="42" t="s">
        <v>451</v>
      </c>
      <c r="AZ86" s="42">
        <v>1</v>
      </c>
      <c r="BA86" s="89">
        <v>17224.5</v>
      </c>
      <c r="BB86" s="89">
        <v>4915</v>
      </c>
      <c r="BC86" s="89">
        <v>17224.5</v>
      </c>
      <c r="BD86" s="89">
        <v>4915</v>
      </c>
      <c r="BE86" s="89">
        <v>3962</v>
      </c>
      <c r="BF86" s="89">
        <v>3334</v>
      </c>
      <c r="BG86" s="89">
        <v>628</v>
      </c>
      <c r="BH86" s="125">
        <v>4915</v>
      </c>
      <c r="BI86" s="89">
        <v>0.2300211907457401</v>
      </c>
      <c r="BJ86" s="89">
        <v>0.12777212614445571</v>
      </c>
      <c r="BK86" s="89">
        <v>628</v>
      </c>
      <c r="BL86" s="89">
        <v>628</v>
      </c>
      <c r="BM86" s="89">
        <v>3962</v>
      </c>
      <c r="BN86" s="89"/>
      <c r="BO86" s="42"/>
      <c r="BP86" s="42"/>
      <c r="BQ86" s="42"/>
      <c r="BR86" s="42">
        <v>202606</v>
      </c>
      <c r="BS86" s="42">
        <v>202606</v>
      </c>
      <c r="BT86" s="89">
        <v>628</v>
      </c>
      <c r="BU86" s="44">
        <v>0</v>
      </c>
      <c r="BV86" s="44">
        <v>628</v>
      </c>
    </row>
    <row r="87" spans="1:74" ht="14.25" customHeight="1">
      <c r="A87" s="42">
        <v>5957632</v>
      </c>
      <c r="B87" s="42">
        <v>1</v>
      </c>
      <c r="C87" s="42">
        <v>20600548663</v>
      </c>
      <c r="D87" s="42" t="s">
        <v>119</v>
      </c>
      <c r="E87" s="42" t="s">
        <v>436</v>
      </c>
      <c r="F87" s="42" t="s">
        <v>1067</v>
      </c>
      <c r="G87" s="42" t="s">
        <v>1068</v>
      </c>
      <c r="H87" s="42" t="s">
        <v>439</v>
      </c>
      <c r="I87" s="42">
        <v>5137</v>
      </c>
      <c r="J87" s="42" t="s">
        <v>577</v>
      </c>
      <c r="K87" s="42" t="s">
        <v>1069</v>
      </c>
      <c r="L87" s="42" t="s">
        <v>986</v>
      </c>
      <c r="M87" s="42" t="s">
        <v>987</v>
      </c>
      <c r="N87" s="42" t="s">
        <v>456</v>
      </c>
      <c r="O87" s="42" t="s">
        <v>292</v>
      </c>
      <c r="P87" s="42" t="s">
        <v>457</v>
      </c>
      <c r="Q87" s="42" t="s">
        <v>1070</v>
      </c>
      <c r="R87" s="42">
        <v>20260609</v>
      </c>
      <c r="S87" s="42" t="s">
        <v>116</v>
      </c>
      <c r="T87" s="42" t="s">
        <v>445</v>
      </c>
      <c r="U87" s="42" t="s">
        <v>120</v>
      </c>
      <c r="V87" s="42">
        <v>6203003642910</v>
      </c>
      <c r="W87" s="42">
        <v>998397150</v>
      </c>
      <c r="X87" s="42" t="s">
        <v>117</v>
      </c>
      <c r="Y87" s="42" t="s">
        <v>889</v>
      </c>
      <c r="Z87" s="42" t="s">
        <v>446</v>
      </c>
      <c r="AA87" s="42" t="s">
        <v>447</v>
      </c>
      <c r="AB87" s="42" t="s">
        <v>121</v>
      </c>
      <c r="AC87" s="42" t="s">
        <v>162</v>
      </c>
      <c r="AD87" s="42"/>
      <c r="AE87" s="42" t="s">
        <v>148</v>
      </c>
      <c r="AF87" s="42" t="s">
        <v>986</v>
      </c>
      <c r="AG87" s="42">
        <v>1128</v>
      </c>
      <c r="AH87" s="42" t="s">
        <v>448</v>
      </c>
      <c r="AI87" s="42" t="s">
        <v>679</v>
      </c>
      <c r="AJ87" s="42" t="s">
        <v>184</v>
      </c>
      <c r="AK87" s="42" t="s">
        <v>449</v>
      </c>
      <c r="AL87" s="42" t="s">
        <v>121</v>
      </c>
      <c r="AM87" s="42"/>
      <c r="AN87" s="42" t="s">
        <v>122</v>
      </c>
      <c r="AO87" s="42" t="s">
        <v>699</v>
      </c>
      <c r="AP87" s="42"/>
      <c r="AQ87" s="42" t="s">
        <v>449</v>
      </c>
      <c r="AR87" s="42" t="s">
        <v>114</v>
      </c>
      <c r="AS87" s="42" t="s">
        <v>114</v>
      </c>
      <c r="AT87" s="42">
        <v>0</v>
      </c>
      <c r="AU87" s="42">
        <v>0</v>
      </c>
      <c r="AV87" s="42" t="s">
        <v>1071</v>
      </c>
      <c r="AW87" s="42" t="s">
        <v>1072</v>
      </c>
      <c r="AX87" s="42" t="s">
        <v>162</v>
      </c>
      <c r="AY87" s="42" t="s">
        <v>451</v>
      </c>
      <c r="AZ87" s="42">
        <v>1</v>
      </c>
      <c r="BA87" s="89">
        <v>16002.45</v>
      </c>
      <c r="BB87" s="89">
        <v>8982.4500000000007</v>
      </c>
      <c r="BC87" s="89">
        <v>16002.45</v>
      </c>
      <c r="BD87" s="89">
        <v>8982.4500000000007</v>
      </c>
      <c r="BE87" s="89">
        <v>16002.45</v>
      </c>
      <c r="BF87" s="89">
        <v>7020</v>
      </c>
      <c r="BG87" s="89">
        <v>8982.4500000000007</v>
      </c>
      <c r="BH87" s="125">
        <v>8982.4500000000007</v>
      </c>
      <c r="BI87" s="89">
        <v>1</v>
      </c>
      <c r="BJ87" s="89">
        <v>1</v>
      </c>
      <c r="BK87" s="89">
        <v>8982.4500000000007</v>
      </c>
      <c r="BL87" s="89">
        <v>8982.4500000000007</v>
      </c>
      <c r="BM87" s="89">
        <v>16002.45</v>
      </c>
      <c r="BN87" s="89" t="s">
        <v>461</v>
      </c>
      <c r="BO87" s="42" t="s">
        <v>461</v>
      </c>
      <c r="BP87" s="42"/>
      <c r="BQ87" s="42"/>
      <c r="BR87" s="42">
        <v>202606</v>
      </c>
      <c r="BS87" s="42">
        <v>202606</v>
      </c>
      <c r="BT87" s="89">
        <v>8982.4500000000007</v>
      </c>
      <c r="BU87" s="44">
        <v>0</v>
      </c>
      <c r="BV87" s="44">
        <v>8982.4500000000007</v>
      </c>
    </row>
    <row r="88" spans="1:74" ht="14.25" customHeight="1">
      <c r="A88" s="42">
        <v>5957740</v>
      </c>
      <c r="B88" s="42">
        <v>1</v>
      </c>
      <c r="C88" s="42">
        <v>20612334499</v>
      </c>
      <c r="D88" s="42" t="s">
        <v>119</v>
      </c>
      <c r="E88" s="42" t="s">
        <v>452</v>
      </c>
      <c r="F88" s="42" t="s">
        <v>1059</v>
      </c>
      <c r="G88" s="42" t="s">
        <v>1060</v>
      </c>
      <c r="H88" s="42" t="s">
        <v>439</v>
      </c>
      <c r="I88" s="42">
        <v>5812</v>
      </c>
      <c r="J88" s="42" t="s">
        <v>124</v>
      </c>
      <c r="K88" s="42" t="s">
        <v>1135</v>
      </c>
      <c r="L88" s="42" t="s">
        <v>240</v>
      </c>
      <c r="M88" s="42" t="s">
        <v>240</v>
      </c>
      <c r="N88" s="42" t="s">
        <v>542</v>
      </c>
      <c r="O88" s="42" t="s">
        <v>240</v>
      </c>
      <c r="P88" s="42" t="s">
        <v>457</v>
      </c>
      <c r="Q88" s="42" t="s">
        <v>1136</v>
      </c>
      <c r="R88" s="42">
        <v>20260609</v>
      </c>
      <c r="S88" s="42" t="s">
        <v>116</v>
      </c>
      <c r="T88" s="42" t="s">
        <v>445</v>
      </c>
      <c r="U88" s="42" t="s">
        <v>120</v>
      </c>
      <c r="V88" s="42">
        <v>7003008446819</v>
      </c>
      <c r="W88" s="42">
        <v>913484674</v>
      </c>
      <c r="X88" s="42" t="s">
        <v>117</v>
      </c>
      <c r="Y88" s="42" t="s">
        <v>818</v>
      </c>
      <c r="Z88" s="42" t="s">
        <v>446</v>
      </c>
      <c r="AA88" s="42" t="s">
        <v>447</v>
      </c>
      <c r="AB88" s="42" t="s">
        <v>121</v>
      </c>
      <c r="AC88" s="42" t="s">
        <v>287</v>
      </c>
      <c r="AD88" s="42"/>
      <c r="AE88" s="42" t="s">
        <v>148</v>
      </c>
      <c r="AF88" s="42" t="s">
        <v>240</v>
      </c>
      <c r="AG88" s="42">
        <v>1128</v>
      </c>
      <c r="AH88" s="42" t="s">
        <v>448</v>
      </c>
      <c r="AI88" s="42" t="s">
        <v>679</v>
      </c>
      <c r="AJ88" s="42" t="s">
        <v>184</v>
      </c>
      <c r="AK88" s="42" t="s">
        <v>449</v>
      </c>
      <c r="AL88" s="42" t="s">
        <v>121</v>
      </c>
      <c r="AM88" s="42"/>
      <c r="AN88" s="42" t="s">
        <v>122</v>
      </c>
      <c r="AO88" s="42" t="s">
        <v>995</v>
      </c>
      <c r="AP88" s="42"/>
      <c r="AQ88" s="42" t="s">
        <v>449</v>
      </c>
      <c r="AR88" s="42" t="s">
        <v>114</v>
      </c>
      <c r="AS88" s="42" t="s">
        <v>114</v>
      </c>
      <c r="AT88" s="42">
        <v>0</v>
      </c>
      <c r="AU88" s="42">
        <v>0</v>
      </c>
      <c r="AV88" s="42"/>
      <c r="AW88" s="42"/>
      <c r="AX88" s="42" t="s">
        <v>287</v>
      </c>
      <c r="AY88" s="42" t="s">
        <v>451</v>
      </c>
      <c r="AZ88" s="42">
        <v>1</v>
      </c>
      <c r="BA88" s="89">
        <v>17224.5</v>
      </c>
      <c r="BB88" s="89">
        <v>4915</v>
      </c>
      <c r="BC88" s="89">
        <v>17224.5</v>
      </c>
      <c r="BD88" s="89">
        <v>4915</v>
      </c>
      <c r="BE88" s="89">
        <v>11988.5</v>
      </c>
      <c r="BF88" s="89">
        <v>8145.5</v>
      </c>
      <c r="BG88" s="89">
        <v>3843</v>
      </c>
      <c r="BH88" s="125">
        <v>4915</v>
      </c>
      <c r="BI88" s="89">
        <v>0.69601439809573573</v>
      </c>
      <c r="BJ88" s="89">
        <v>0.78189216683621565</v>
      </c>
      <c r="BK88" s="89">
        <v>3843</v>
      </c>
      <c r="BL88" s="89">
        <v>3843</v>
      </c>
      <c r="BM88" s="89">
        <v>11988.5</v>
      </c>
      <c r="BN88" s="89"/>
      <c r="BO88" s="42"/>
      <c r="BP88" s="42"/>
      <c r="BQ88" s="42"/>
      <c r="BR88" s="42">
        <v>202606</v>
      </c>
      <c r="BS88" s="42">
        <v>202606</v>
      </c>
      <c r="BT88" s="89">
        <v>3843</v>
      </c>
      <c r="BU88" s="44">
        <v>0</v>
      </c>
      <c r="BV88" s="44">
        <v>3843</v>
      </c>
    </row>
    <row r="89" spans="1:74" ht="14.25" customHeight="1">
      <c r="A89" s="42">
        <v>5958097</v>
      </c>
      <c r="B89" s="42">
        <v>1</v>
      </c>
      <c r="C89" s="42">
        <v>10707664733</v>
      </c>
      <c r="D89" s="42" t="s">
        <v>119</v>
      </c>
      <c r="E89" s="42" t="s">
        <v>452</v>
      </c>
      <c r="F89" s="42" t="s">
        <v>1124</v>
      </c>
      <c r="G89" s="42" t="s">
        <v>899</v>
      </c>
      <c r="H89" s="42" t="s">
        <v>439</v>
      </c>
      <c r="I89" s="42">
        <v>5813</v>
      </c>
      <c r="J89" s="42" t="s">
        <v>683</v>
      </c>
      <c r="K89" s="42" t="s">
        <v>1137</v>
      </c>
      <c r="L89" s="42" t="s">
        <v>455</v>
      </c>
      <c r="M89" s="42" t="s">
        <v>455</v>
      </c>
      <c r="N89" s="42" t="s">
        <v>456</v>
      </c>
      <c r="O89" s="42" t="s">
        <v>292</v>
      </c>
      <c r="P89" s="42" t="s">
        <v>457</v>
      </c>
      <c r="Q89" s="42" t="s">
        <v>1126</v>
      </c>
      <c r="R89" s="42">
        <v>20260610</v>
      </c>
      <c r="S89" s="42" t="s">
        <v>116</v>
      </c>
      <c r="T89" s="42" t="s">
        <v>474</v>
      </c>
      <c r="U89" s="42" t="s">
        <v>120</v>
      </c>
      <c r="V89" s="42">
        <v>6223508592831</v>
      </c>
      <c r="W89" s="42">
        <v>914313928</v>
      </c>
      <c r="X89" s="42" t="s">
        <v>117</v>
      </c>
      <c r="Y89" s="42" t="s">
        <v>901</v>
      </c>
      <c r="Z89" s="42" t="s">
        <v>476</v>
      </c>
      <c r="AA89" s="42" t="s">
        <v>447</v>
      </c>
      <c r="AB89" s="42" t="s">
        <v>121</v>
      </c>
      <c r="AC89" s="42" t="s">
        <v>200</v>
      </c>
      <c r="AD89" s="42"/>
      <c r="AE89" s="42" t="s">
        <v>148</v>
      </c>
      <c r="AF89" s="42" t="s">
        <v>986</v>
      </c>
      <c r="AG89" s="42">
        <v>1128</v>
      </c>
      <c r="AH89" s="42" t="s">
        <v>448</v>
      </c>
      <c r="AI89" s="42" t="s">
        <v>679</v>
      </c>
      <c r="AJ89" s="42" t="s">
        <v>184</v>
      </c>
      <c r="AK89" s="42" t="s">
        <v>449</v>
      </c>
      <c r="AL89" s="42" t="s">
        <v>121</v>
      </c>
      <c r="AM89" s="42"/>
      <c r="AN89" s="42" t="s">
        <v>122</v>
      </c>
      <c r="AO89" s="42" t="s">
        <v>581</v>
      </c>
      <c r="AP89" s="42"/>
      <c r="AQ89" s="42" t="s">
        <v>449</v>
      </c>
      <c r="AR89" s="42" t="s">
        <v>114</v>
      </c>
      <c r="AS89" s="42" t="s">
        <v>114</v>
      </c>
      <c r="AT89" s="42">
        <v>0</v>
      </c>
      <c r="AU89" s="42">
        <v>0</v>
      </c>
      <c r="AV89" s="42"/>
      <c r="AW89" s="42"/>
      <c r="AX89" s="42" t="s">
        <v>200</v>
      </c>
      <c r="AY89" s="42" t="s">
        <v>451</v>
      </c>
      <c r="AZ89" s="42">
        <v>1</v>
      </c>
      <c r="BA89" s="89">
        <v>4809</v>
      </c>
      <c r="BB89" s="89">
        <v>1915</v>
      </c>
      <c r="BC89" s="89">
        <v>4809</v>
      </c>
      <c r="BD89" s="89">
        <v>1915</v>
      </c>
      <c r="BE89" s="89">
        <v>2484</v>
      </c>
      <c r="BF89" s="89">
        <v>1341</v>
      </c>
      <c r="BG89" s="89">
        <v>1143</v>
      </c>
      <c r="BH89" s="125">
        <v>1915</v>
      </c>
      <c r="BI89" s="89">
        <v>0.5165315034310668</v>
      </c>
      <c r="BJ89" s="89">
        <v>0.59686684073107055</v>
      </c>
      <c r="BK89" s="89">
        <v>1143</v>
      </c>
      <c r="BL89" s="89">
        <v>1143</v>
      </c>
      <c r="BM89" s="89">
        <v>2484</v>
      </c>
      <c r="BN89" s="89"/>
      <c r="BO89" s="42"/>
      <c r="BP89" s="42"/>
      <c r="BQ89" s="42"/>
      <c r="BR89" s="42">
        <v>202606</v>
      </c>
      <c r="BS89" s="42">
        <v>202606</v>
      </c>
      <c r="BT89" s="89">
        <v>1143</v>
      </c>
      <c r="BU89" s="44">
        <v>0</v>
      </c>
      <c r="BV89" s="44">
        <v>1143</v>
      </c>
    </row>
    <row r="90" spans="1:74" ht="14.25" customHeight="1">
      <c r="A90" s="42">
        <v>5957879</v>
      </c>
      <c r="B90" s="42">
        <v>1</v>
      </c>
      <c r="C90" s="42">
        <v>20605346392</v>
      </c>
      <c r="D90" s="42" t="s">
        <v>119</v>
      </c>
      <c r="E90" s="42" t="s">
        <v>436</v>
      </c>
      <c r="F90" s="42" t="s">
        <v>1073</v>
      </c>
      <c r="G90" s="42" t="s">
        <v>811</v>
      </c>
      <c r="H90" s="42" t="s">
        <v>439</v>
      </c>
      <c r="I90" s="42">
        <v>5331</v>
      </c>
      <c r="J90" s="42" t="s">
        <v>1074</v>
      </c>
      <c r="K90" s="42" t="s">
        <v>1132</v>
      </c>
      <c r="L90" s="42" t="s">
        <v>122</v>
      </c>
      <c r="M90" s="42" t="s">
        <v>122</v>
      </c>
      <c r="N90" s="42" t="s">
        <v>122</v>
      </c>
      <c r="O90" s="42" t="s">
        <v>443</v>
      </c>
      <c r="P90" s="42" t="s">
        <v>122</v>
      </c>
      <c r="Q90" s="42" t="s">
        <v>1076</v>
      </c>
      <c r="R90" s="42">
        <v>20260609</v>
      </c>
      <c r="S90" s="42" t="s">
        <v>116</v>
      </c>
      <c r="T90" s="42" t="s">
        <v>445</v>
      </c>
      <c r="U90" s="42" t="s">
        <v>120</v>
      </c>
      <c r="V90" s="42">
        <v>2003004066128</v>
      </c>
      <c r="W90" s="42">
        <v>976353504</v>
      </c>
      <c r="X90" s="42" t="s">
        <v>117</v>
      </c>
      <c r="Y90" s="42" t="s">
        <v>816</v>
      </c>
      <c r="Z90" s="42" t="s">
        <v>446</v>
      </c>
      <c r="AA90" s="42" t="s">
        <v>447</v>
      </c>
      <c r="AB90" s="42" t="s">
        <v>121</v>
      </c>
      <c r="AC90" s="42" t="s">
        <v>200</v>
      </c>
      <c r="AD90" s="42"/>
      <c r="AE90" s="42" t="s">
        <v>148</v>
      </c>
      <c r="AF90" s="42" t="s">
        <v>122</v>
      </c>
      <c r="AG90" s="42">
        <v>1128</v>
      </c>
      <c r="AH90" s="42" t="s">
        <v>448</v>
      </c>
      <c r="AI90" s="42" t="s">
        <v>679</v>
      </c>
      <c r="AJ90" s="42" t="s">
        <v>184</v>
      </c>
      <c r="AK90" s="42" t="s">
        <v>449</v>
      </c>
      <c r="AL90" s="42" t="s">
        <v>121</v>
      </c>
      <c r="AM90" s="42"/>
      <c r="AN90" s="42" t="s">
        <v>122</v>
      </c>
      <c r="AO90" s="42" t="s">
        <v>581</v>
      </c>
      <c r="AP90" s="42"/>
      <c r="AQ90" s="42" t="s">
        <v>449</v>
      </c>
      <c r="AR90" s="42" t="s">
        <v>114</v>
      </c>
      <c r="AS90" s="42" t="s">
        <v>114</v>
      </c>
      <c r="AT90" s="42">
        <v>0</v>
      </c>
      <c r="AU90" s="42">
        <v>0</v>
      </c>
      <c r="AV90" s="42" t="s">
        <v>1077</v>
      </c>
      <c r="AW90" s="42" t="s">
        <v>1078</v>
      </c>
      <c r="AX90" s="42" t="s">
        <v>200</v>
      </c>
      <c r="AY90" s="42" t="s">
        <v>451</v>
      </c>
      <c r="AZ90" s="42">
        <v>1</v>
      </c>
      <c r="BA90" s="89">
        <v>376618.92</v>
      </c>
      <c r="BB90" s="89">
        <v>52166.460000000006</v>
      </c>
      <c r="BC90" s="89">
        <v>376618.92</v>
      </c>
      <c r="BD90" s="89">
        <v>52166.460000000006</v>
      </c>
      <c r="BE90" s="89">
        <v>60257.66</v>
      </c>
      <c r="BF90" s="89">
        <v>48598.2</v>
      </c>
      <c r="BG90" s="89">
        <v>11659.46</v>
      </c>
      <c r="BH90" s="125">
        <v>52166.460000000006</v>
      </c>
      <c r="BI90" s="89">
        <v>0.15999636980531939</v>
      </c>
      <c r="BJ90" s="89">
        <v>0.2235049110098711</v>
      </c>
      <c r="BK90" s="89">
        <v>11659.46</v>
      </c>
      <c r="BL90" s="89">
        <v>11659.46</v>
      </c>
      <c r="BM90" s="89">
        <v>60257.66</v>
      </c>
      <c r="BN90" s="89" t="s">
        <v>461</v>
      </c>
      <c r="BO90" s="42" t="s">
        <v>461</v>
      </c>
      <c r="BP90" s="42"/>
      <c r="BQ90" s="42"/>
      <c r="BR90" s="42">
        <v>202606</v>
      </c>
      <c r="BS90" s="42">
        <v>202606</v>
      </c>
      <c r="BT90" s="89">
        <v>11659.46</v>
      </c>
      <c r="BU90" s="44">
        <v>0</v>
      </c>
      <c r="BV90" s="44">
        <v>11659.46</v>
      </c>
    </row>
    <row r="91" spans="1:74" ht="14.25" customHeight="1">
      <c r="A91" s="42">
        <v>5957881</v>
      </c>
      <c r="B91" s="42">
        <v>1</v>
      </c>
      <c r="C91" s="42">
        <v>20605346392</v>
      </c>
      <c r="D91" s="42" t="s">
        <v>119</v>
      </c>
      <c r="E91" s="42" t="s">
        <v>436</v>
      </c>
      <c r="F91" s="42" t="s">
        <v>1073</v>
      </c>
      <c r="G91" s="42" t="s">
        <v>811</v>
      </c>
      <c r="H91" s="42" t="s">
        <v>439</v>
      </c>
      <c r="I91" s="42">
        <v>5331</v>
      </c>
      <c r="J91" s="42" t="s">
        <v>1074</v>
      </c>
      <c r="K91" s="42" t="s">
        <v>1075</v>
      </c>
      <c r="L91" s="42" t="s">
        <v>122</v>
      </c>
      <c r="M91" s="42" t="s">
        <v>122</v>
      </c>
      <c r="N91" s="42" t="s">
        <v>122</v>
      </c>
      <c r="O91" s="42" t="s">
        <v>443</v>
      </c>
      <c r="P91" s="42" t="s">
        <v>122</v>
      </c>
      <c r="Q91" s="42" t="s">
        <v>1076</v>
      </c>
      <c r="R91" s="42">
        <v>20260609</v>
      </c>
      <c r="S91" s="42" t="s">
        <v>116</v>
      </c>
      <c r="T91" s="42" t="s">
        <v>445</v>
      </c>
      <c r="U91" s="42" t="s">
        <v>120</v>
      </c>
      <c r="V91" s="42">
        <v>2003004066128</v>
      </c>
      <c r="W91" s="42">
        <v>976353504</v>
      </c>
      <c r="X91" s="42" t="s">
        <v>117</v>
      </c>
      <c r="Y91" s="42" t="s">
        <v>817</v>
      </c>
      <c r="Z91" s="42" t="s">
        <v>446</v>
      </c>
      <c r="AA91" s="42" t="s">
        <v>447</v>
      </c>
      <c r="AB91" s="42" t="s">
        <v>121</v>
      </c>
      <c r="AC91" s="42" t="s">
        <v>200</v>
      </c>
      <c r="AD91" s="42"/>
      <c r="AE91" s="42" t="s">
        <v>148</v>
      </c>
      <c r="AF91" s="42" t="s">
        <v>122</v>
      </c>
      <c r="AG91" s="42">
        <v>1128</v>
      </c>
      <c r="AH91" s="42" t="s">
        <v>448</v>
      </c>
      <c r="AI91" s="42" t="s">
        <v>679</v>
      </c>
      <c r="AJ91" s="42" t="s">
        <v>184</v>
      </c>
      <c r="AK91" s="42" t="s">
        <v>449</v>
      </c>
      <c r="AL91" s="42" t="s">
        <v>121</v>
      </c>
      <c r="AM91" s="42"/>
      <c r="AN91" s="42" t="s">
        <v>122</v>
      </c>
      <c r="AO91" s="42" t="s">
        <v>581</v>
      </c>
      <c r="AP91" s="42"/>
      <c r="AQ91" s="42" t="s">
        <v>449</v>
      </c>
      <c r="AR91" s="42" t="s">
        <v>114</v>
      </c>
      <c r="AS91" s="42" t="s">
        <v>114</v>
      </c>
      <c r="AT91" s="42">
        <v>0</v>
      </c>
      <c r="AU91" s="42">
        <v>0</v>
      </c>
      <c r="AV91" s="42" t="s">
        <v>1077</v>
      </c>
      <c r="AW91" s="42" t="s">
        <v>1078</v>
      </c>
      <c r="AX91" s="42" t="s">
        <v>200</v>
      </c>
      <c r="AY91" s="42" t="s">
        <v>451</v>
      </c>
      <c r="AZ91" s="42">
        <v>1</v>
      </c>
      <c r="BA91" s="89">
        <v>376618.92</v>
      </c>
      <c r="BB91" s="89">
        <v>52166.460000000006</v>
      </c>
      <c r="BC91" s="89">
        <v>376618.92</v>
      </c>
      <c r="BD91" s="89">
        <v>52166.460000000006</v>
      </c>
      <c r="BE91" s="89">
        <v>2029.48</v>
      </c>
      <c r="BF91" s="89">
        <v>1746.5</v>
      </c>
      <c r="BG91" s="89">
        <v>282.98</v>
      </c>
      <c r="BH91" s="125">
        <v>52166.460000000006</v>
      </c>
      <c r="BI91" s="89">
        <v>5.3886830751891058E-3</v>
      </c>
      <c r="BJ91" s="89">
        <v>5.4245582314766993E-3</v>
      </c>
      <c r="BK91" s="89">
        <v>282.98</v>
      </c>
      <c r="BL91" s="89">
        <v>282.98</v>
      </c>
      <c r="BM91" s="89">
        <v>2029.48</v>
      </c>
      <c r="BN91" s="89" t="s">
        <v>461</v>
      </c>
      <c r="BO91" s="42" t="s">
        <v>461</v>
      </c>
      <c r="BP91" s="42"/>
      <c r="BQ91" s="42"/>
      <c r="BR91" s="42">
        <v>202606</v>
      </c>
      <c r="BS91" s="42">
        <v>202606</v>
      </c>
      <c r="BT91" s="89">
        <v>282.98</v>
      </c>
      <c r="BU91" s="44">
        <v>0</v>
      </c>
      <c r="BV91" s="44">
        <v>282.98</v>
      </c>
    </row>
    <row r="92" spans="1:74" ht="14.25" customHeight="1">
      <c r="A92" s="42">
        <v>5958089</v>
      </c>
      <c r="B92" s="42">
        <v>1</v>
      </c>
      <c r="C92" s="42">
        <v>10707664733</v>
      </c>
      <c r="D92" s="42" t="s">
        <v>119</v>
      </c>
      <c r="E92" s="42" t="s">
        <v>452</v>
      </c>
      <c r="F92" s="42" t="s">
        <v>1124</v>
      </c>
      <c r="G92" s="42" t="s">
        <v>899</v>
      </c>
      <c r="H92" s="42" t="s">
        <v>439</v>
      </c>
      <c r="I92" s="42">
        <v>5813</v>
      </c>
      <c r="J92" s="42" t="s">
        <v>683</v>
      </c>
      <c r="K92" s="42" t="s">
        <v>1125</v>
      </c>
      <c r="L92" s="42" t="s">
        <v>455</v>
      </c>
      <c r="M92" s="42" t="s">
        <v>455</v>
      </c>
      <c r="N92" s="42" t="s">
        <v>456</v>
      </c>
      <c r="O92" s="42" t="s">
        <v>292</v>
      </c>
      <c r="P92" s="42" t="s">
        <v>457</v>
      </c>
      <c r="Q92" s="42" t="s">
        <v>1126</v>
      </c>
      <c r="R92" s="42">
        <v>20260610</v>
      </c>
      <c r="S92" s="42" t="s">
        <v>116</v>
      </c>
      <c r="T92" s="42" t="s">
        <v>474</v>
      </c>
      <c r="U92" s="42" t="s">
        <v>120</v>
      </c>
      <c r="V92" s="42">
        <v>6223508592831</v>
      </c>
      <c r="W92" s="42">
        <v>914313928</v>
      </c>
      <c r="X92" s="42" t="s">
        <v>117</v>
      </c>
      <c r="Y92" s="42" t="s">
        <v>898</v>
      </c>
      <c r="Z92" s="42" t="s">
        <v>476</v>
      </c>
      <c r="AA92" s="42" t="s">
        <v>447</v>
      </c>
      <c r="AB92" s="42" t="s">
        <v>121</v>
      </c>
      <c r="AC92" s="42" t="s">
        <v>200</v>
      </c>
      <c r="AD92" s="42"/>
      <c r="AE92" s="42" t="s">
        <v>148</v>
      </c>
      <c r="AF92" s="42" t="s">
        <v>986</v>
      </c>
      <c r="AG92" s="42">
        <v>1128</v>
      </c>
      <c r="AH92" s="42" t="s">
        <v>448</v>
      </c>
      <c r="AI92" s="42" t="s">
        <v>679</v>
      </c>
      <c r="AJ92" s="42" t="s">
        <v>184</v>
      </c>
      <c r="AK92" s="42" t="s">
        <v>449</v>
      </c>
      <c r="AL92" s="42" t="s">
        <v>121</v>
      </c>
      <c r="AM92" s="42"/>
      <c r="AN92" s="42" t="s">
        <v>122</v>
      </c>
      <c r="AO92" s="42" t="s">
        <v>581</v>
      </c>
      <c r="AP92" s="42"/>
      <c r="AQ92" s="42" t="s">
        <v>449</v>
      </c>
      <c r="AR92" s="42" t="s">
        <v>114</v>
      </c>
      <c r="AS92" s="42" t="s">
        <v>114</v>
      </c>
      <c r="AT92" s="42">
        <v>0</v>
      </c>
      <c r="AU92" s="42">
        <v>0</v>
      </c>
      <c r="AV92" s="42"/>
      <c r="AW92" s="42"/>
      <c r="AX92" s="42" t="s">
        <v>200</v>
      </c>
      <c r="AY92" s="42" t="s">
        <v>451</v>
      </c>
      <c r="AZ92" s="42">
        <v>1</v>
      </c>
      <c r="BA92" s="89">
        <v>4809</v>
      </c>
      <c r="BB92" s="89">
        <v>1915</v>
      </c>
      <c r="BC92" s="89">
        <v>4809</v>
      </c>
      <c r="BD92" s="89">
        <v>1915</v>
      </c>
      <c r="BE92" s="89">
        <v>2325</v>
      </c>
      <c r="BF92" s="89">
        <v>1553</v>
      </c>
      <c r="BG92" s="89">
        <v>772</v>
      </c>
      <c r="BH92" s="125">
        <v>1915</v>
      </c>
      <c r="BI92" s="89">
        <v>0.48346849656893331</v>
      </c>
      <c r="BJ92" s="89">
        <v>0.40313315926892951</v>
      </c>
      <c r="BK92" s="89">
        <v>772</v>
      </c>
      <c r="BL92" s="89">
        <v>772</v>
      </c>
      <c r="BM92" s="89">
        <v>2325</v>
      </c>
      <c r="BN92" s="89"/>
      <c r="BO92" s="42"/>
      <c r="BP92" s="42"/>
      <c r="BQ92" s="42"/>
      <c r="BR92" s="42">
        <v>202606</v>
      </c>
      <c r="BS92" s="42">
        <v>202606</v>
      </c>
      <c r="BT92" s="89">
        <v>772</v>
      </c>
      <c r="BU92" s="44">
        <v>0</v>
      </c>
      <c r="BV92" s="44">
        <v>772</v>
      </c>
    </row>
    <row r="93" spans="1:74" ht="14.25" customHeight="1">
      <c r="A93" s="42">
        <v>5958686</v>
      </c>
      <c r="B93" s="42">
        <v>1</v>
      </c>
      <c r="C93" s="42">
        <v>20612931951</v>
      </c>
      <c r="D93" s="42" t="s">
        <v>119</v>
      </c>
      <c r="E93" s="42" t="s">
        <v>452</v>
      </c>
      <c r="F93" s="42" t="s">
        <v>1116</v>
      </c>
      <c r="G93" s="42" t="s">
        <v>1117</v>
      </c>
      <c r="H93" s="42" t="s">
        <v>439</v>
      </c>
      <c r="I93" s="42">
        <v>5045</v>
      </c>
      <c r="J93" s="42" t="s">
        <v>1054</v>
      </c>
      <c r="K93" s="42" t="s">
        <v>1118</v>
      </c>
      <c r="L93" s="42" t="s">
        <v>122</v>
      </c>
      <c r="M93" s="42" t="s">
        <v>122</v>
      </c>
      <c r="N93" s="42" t="s">
        <v>122</v>
      </c>
      <c r="O93" s="42" t="s">
        <v>443</v>
      </c>
      <c r="P93" s="42" t="s">
        <v>122</v>
      </c>
      <c r="Q93" s="42" t="s">
        <v>1076</v>
      </c>
      <c r="R93" s="42">
        <v>20260611</v>
      </c>
      <c r="S93" s="42" t="s">
        <v>116</v>
      </c>
      <c r="T93" s="42" t="s">
        <v>445</v>
      </c>
      <c r="U93" s="42" t="s">
        <v>120</v>
      </c>
      <c r="V93" s="42">
        <v>2003008467143</v>
      </c>
      <c r="W93" s="42">
        <v>976353504</v>
      </c>
      <c r="X93" s="42" t="s">
        <v>117</v>
      </c>
      <c r="Y93" s="42" t="s">
        <v>475</v>
      </c>
      <c r="Z93" s="42" t="s">
        <v>446</v>
      </c>
      <c r="AA93" s="42" t="s">
        <v>447</v>
      </c>
      <c r="AB93" s="42" t="s">
        <v>121</v>
      </c>
      <c r="AC93" s="42" t="s">
        <v>200</v>
      </c>
      <c r="AD93" s="42"/>
      <c r="AE93" s="42" t="s">
        <v>148</v>
      </c>
      <c r="AF93" s="42" t="s">
        <v>122</v>
      </c>
      <c r="AG93" s="42">
        <v>1128</v>
      </c>
      <c r="AH93" s="42" t="s">
        <v>448</v>
      </c>
      <c r="AI93" s="42" t="s">
        <v>679</v>
      </c>
      <c r="AJ93" s="42" t="s">
        <v>184</v>
      </c>
      <c r="AK93" s="42" t="s">
        <v>449</v>
      </c>
      <c r="AL93" s="42" t="s">
        <v>121</v>
      </c>
      <c r="AM93" s="42"/>
      <c r="AN93" s="42" t="s">
        <v>122</v>
      </c>
      <c r="AO93" s="42" t="s">
        <v>581</v>
      </c>
      <c r="AP93" s="42"/>
      <c r="AQ93" s="42" t="s">
        <v>449</v>
      </c>
      <c r="AR93" s="42" t="s">
        <v>114</v>
      </c>
      <c r="AS93" s="42" t="s">
        <v>114</v>
      </c>
      <c r="AT93" s="42">
        <v>0</v>
      </c>
      <c r="AU93" s="42">
        <v>0</v>
      </c>
      <c r="AV93" s="42"/>
      <c r="AW93" s="42"/>
      <c r="AX93" s="42"/>
      <c r="AY93" s="42"/>
      <c r="AZ93" s="42">
        <v>1</v>
      </c>
      <c r="BA93" s="89">
        <v>9236.65</v>
      </c>
      <c r="BB93" s="89">
        <v>2149.5</v>
      </c>
      <c r="BC93" s="89">
        <v>9236.65</v>
      </c>
      <c r="BD93" s="89">
        <v>2149.5</v>
      </c>
      <c r="BE93" s="89">
        <v>9236.65</v>
      </c>
      <c r="BF93" s="89">
        <v>7087.15</v>
      </c>
      <c r="BG93" s="89">
        <v>2149.5</v>
      </c>
      <c r="BH93" s="125">
        <v>2149.5</v>
      </c>
      <c r="BI93" s="89">
        <v>1</v>
      </c>
      <c r="BJ93" s="89">
        <v>1</v>
      </c>
      <c r="BK93" s="89">
        <v>2149.5</v>
      </c>
      <c r="BL93" s="89">
        <v>2149.5</v>
      </c>
      <c r="BM93" s="89">
        <v>9236.65</v>
      </c>
      <c r="BN93" s="89"/>
      <c r="BO93" s="42"/>
      <c r="BP93" s="42"/>
      <c r="BQ93" s="42"/>
      <c r="BR93" s="42">
        <v>202606</v>
      </c>
      <c r="BS93" s="42">
        <v>202606</v>
      </c>
      <c r="BT93" s="89">
        <v>2149.5</v>
      </c>
      <c r="BU93" s="44">
        <v>0</v>
      </c>
      <c r="BV93" s="44">
        <v>2149.5</v>
      </c>
    </row>
    <row r="94" spans="1:74" ht="14.25" customHeight="1">
      <c r="A94" s="42">
        <v>5958714</v>
      </c>
      <c r="B94" s="42">
        <v>7</v>
      </c>
      <c r="C94" s="42">
        <v>20603005920</v>
      </c>
      <c r="D94" s="42" t="s">
        <v>119</v>
      </c>
      <c r="E94" s="42" t="s">
        <v>436</v>
      </c>
      <c r="F94" s="42" t="s">
        <v>1090</v>
      </c>
      <c r="G94" s="42" t="s">
        <v>1091</v>
      </c>
      <c r="H94" s="42" t="s">
        <v>439</v>
      </c>
      <c r="I94" s="42">
        <v>1520</v>
      </c>
      <c r="J94" s="42" t="s">
        <v>463</v>
      </c>
      <c r="K94" s="42" t="s">
        <v>1092</v>
      </c>
      <c r="L94" s="42" t="s">
        <v>1093</v>
      </c>
      <c r="M94" s="42" t="s">
        <v>1093</v>
      </c>
      <c r="N94" s="42" t="s">
        <v>1094</v>
      </c>
      <c r="O94" s="42" t="s">
        <v>240</v>
      </c>
      <c r="P94" s="42" t="s">
        <v>457</v>
      </c>
      <c r="Q94" s="42" t="s">
        <v>1095</v>
      </c>
      <c r="R94" s="42">
        <v>20260611</v>
      </c>
      <c r="S94" s="42" t="s">
        <v>116</v>
      </c>
      <c r="T94" s="42" t="s">
        <v>445</v>
      </c>
      <c r="U94" s="42" t="s">
        <v>120</v>
      </c>
      <c r="V94" s="42">
        <v>7003008467310</v>
      </c>
      <c r="W94" s="42">
        <v>936534673</v>
      </c>
      <c r="X94" s="42" t="s">
        <v>117</v>
      </c>
      <c r="Y94" s="42" t="s">
        <v>475</v>
      </c>
      <c r="Z94" s="42" t="s">
        <v>446</v>
      </c>
      <c r="AA94" s="42" t="s">
        <v>447</v>
      </c>
      <c r="AB94" s="42" t="s">
        <v>121</v>
      </c>
      <c r="AC94" s="42" t="s">
        <v>823</v>
      </c>
      <c r="AD94" s="42"/>
      <c r="AE94" s="42" t="s">
        <v>148</v>
      </c>
      <c r="AF94" s="42" t="s">
        <v>240</v>
      </c>
      <c r="AG94" s="42">
        <v>1128</v>
      </c>
      <c r="AH94" s="42" t="s">
        <v>448</v>
      </c>
      <c r="AI94" s="42" t="s">
        <v>679</v>
      </c>
      <c r="AJ94" s="42" t="s">
        <v>184</v>
      </c>
      <c r="AK94" s="42" t="s">
        <v>449</v>
      </c>
      <c r="AL94" s="42" t="s">
        <v>121</v>
      </c>
      <c r="AM94" s="42"/>
      <c r="AN94" s="42" t="s">
        <v>122</v>
      </c>
      <c r="AO94" s="42" t="s">
        <v>1096</v>
      </c>
      <c r="AP94" s="42"/>
      <c r="AQ94" s="42" t="s">
        <v>449</v>
      </c>
      <c r="AR94" s="42" t="s">
        <v>114</v>
      </c>
      <c r="AS94" s="42" t="s">
        <v>114</v>
      </c>
      <c r="AT94" s="42">
        <v>0</v>
      </c>
      <c r="AU94" s="42">
        <v>0</v>
      </c>
      <c r="AV94" s="42" t="s">
        <v>1097</v>
      </c>
      <c r="AW94" s="42" t="s">
        <v>1098</v>
      </c>
      <c r="AX94" s="42"/>
      <c r="AY94" s="42"/>
      <c r="AZ94" s="42">
        <v>1</v>
      </c>
      <c r="BA94" s="89">
        <v>0</v>
      </c>
      <c r="BB94" s="89">
        <v>0</v>
      </c>
      <c r="BC94" s="89">
        <v>0</v>
      </c>
      <c r="BD94" s="89">
        <v>0</v>
      </c>
      <c r="BE94" s="89">
        <v>0</v>
      </c>
      <c r="BF94" s="89">
        <v>0</v>
      </c>
      <c r="BG94" s="89">
        <v>0</v>
      </c>
      <c r="BH94" s="125">
        <v>0</v>
      </c>
      <c r="BI94" s="89">
        <v>0</v>
      </c>
      <c r="BJ94" s="89">
        <v>0</v>
      </c>
      <c r="BK94" s="89">
        <v>0</v>
      </c>
      <c r="BL94" s="89">
        <v>0</v>
      </c>
      <c r="BM94" s="89">
        <v>0</v>
      </c>
      <c r="BN94" s="89" t="s">
        <v>461</v>
      </c>
      <c r="BO94" s="42" t="s">
        <v>461</v>
      </c>
      <c r="BP94" s="42"/>
      <c r="BQ94" s="42"/>
      <c r="BR94" s="42">
        <v>202606</v>
      </c>
      <c r="BS94" s="42"/>
      <c r="BT94" s="89" t="s">
        <v>451</v>
      </c>
      <c r="BU94" s="44" t="s">
        <v>451</v>
      </c>
      <c r="BV94" s="44" t="s">
        <v>451</v>
      </c>
    </row>
    <row r="95" spans="1:74" ht="14.25" customHeight="1">
      <c r="A95" s="42">
        <v>5958692</v>
      </c>
      <c r="B95" s="42">
        <v>7</v>
      </c>
      <c r="C95" s="42">
        <v>20609843277</v>
      </c>
      <c r="D95" s="42" t="s">
        <v>119</v>
      </c>
      <c r="E95" s="42" t="s">
        <v>436</v>
      </c>
      <c r="F95" s="42" t="s">
        <v>1119</v>
      </c>
      <c r="G95" s="42" t="s">
        <v>1120</v>
      </c>
      <c r="H95" s="42" t="s">
        <v>439</v>
      </c>
      <c r="I95" s="42">
        <v>1520</v>
      </c>
      <c r="J95" s="42" t="s">
        <v>463</v>
      </c>
      <c r="K95" s="42" t="s">
        <v>1121</v>
      </c>
      <c r="L95" s="42" t="s">
        <v>1093</v>
      </c>
      <c r="M95" s="42" t="s">
        <v>1093</v>
      </c>
      <c r="N95" s="42" t="s">
        <v>1094</v>
      </c>
      <c r="O95" s="42" t="s">
        <v>240</v>
      </c>
      <c r="P95" s="42" t="s">
        <v>457</v>
      </c>
      <c r="Q95" s="42" t="s">
        <v>1122</v>
      </c>
      <c r="R95" s="42">
        <v>20260611</v>
      </c>
      <c r="S95" s="42" t="s">
        <v>116</v>
      </c>
      <c r="T95" s="42" t="s">
        <v>445</v>
      </c>
      <c r="U95" s="42" t="s">
        <v>499</v>
      </c>
      <c r="V95" s="42">
        <v>2909907340032</v>
      </c>
      <c r="W95" s="42">
        <v>999966694</v>
      </c>
      <c r="X95" s="42" t="s">
        <v>117</v>
      </c>
      <c r="Y95" s="42" t="s">
        <v>475</v>
      </c>
      <c r="Z95" s="42" t="s">
        <v>446</v>
      </c>
      <c r="AA95" s="42" t="s">
        <v>447</v>
      </c>
      <c r="AB95" s="42" t="s">
        <v>121</v>
      </c>
      <c r="AC95" s="42" t="s">
        <v>823</v>
      </c>
      <c r="AD95" s="42"/>
      <c r="AE95" s="42" t="s">
        <v>148</v>
      </c>
      <c r="AF95" s="42" t="s">
        <v>240</v>
      </c>
      <c r="AG95" s="42">
        <v>1128</v>
      </c>
      <c r="AH95" s="42" t="s">
        <v>448</v>
      </c>
      <c r="AI95" s="42" t="s">
        <v>679</v>
      </c>
      <c r="AJ95" s="42" t="s">
        <v>184</v>
      </c>
      <c r="AK95" s="42" t="s">
        <v>449</v>
      </c>
      <c r="AL95" s="42" t="s">
        <v>121</v>
      </c>
      <c r="AM95" s="42"/>
      <c r="AN95" s="42" t="s">
        <v>122</v>
      </c>
      <c r="AO95" s="42" t="s">
        <v>1096</v>
      </c>
      <c r="AP95" s="42"/>
      <c r="AQ95" s="42" t="s">
        <v>449</v>
      </c>
      <c r="AR95" s="42" t="s">
        <v>114</v>
      </c>
      <c r="AS95" s="42" t="s">
        <v>114</v>
      </c>
      <c r="AT95" s="42">
        <v>0</v>
      </c>
      <c r="AU95" s="42">
        <v>0</v>
      </c>
      <c r="AV95" s="42" t="s">
        <v>1123</v>
      </c>
      <c r="AW95" s="42" t="s">
        <v>1123</v>
      </c>
      <c r="AX95" s="42"/>
      <c r="AY95" s="42"/>
      <c r="AZ95" s="42">
        <v>1</v>
      </c>
      <c r="BA95" s="89">
        <v>0</v>
      </c>
      <c r="BB95" s="89">
        <v>0</v>
      </c>
      <c r="BC95" s="89">
        <v>0</v>
      </c>
      <c r="BD95" s="89">
        <v>0</v>
      </c>
      <c r="BE95" s="89">
        <v>0</v>
      </c>
      <c r="BF95" s="89">
        <v>0</v>
      </c>
      <c r="BG95" s="89">
        <v>0</v>
      </c>
      <c r="BH95" s="125">
        <v>0</v>
      </c>
      <c r="BI95" s="89">
        <v>0</v>
      </c>
      <c r="BJ95" s="89">
        <v>0</v>
      </c>
      <c r="BK95" s="89">
        <v>0</v>
      </c>
      <c r="BL95" s="89">
        <v>0</v>
      </c>
      <c r="BM95" s="89">
        <v>0</v>
      </c>
      <c r="BN95" s="89" t="s">
        <v>461</v>
      </c>
      <c r="BO95" s="42" t="s">
        <v>461</v>
      </c>
      <c r="BP95" s="42"/>
      <c r="BQ95" s="42"/>
      <c r="BR95" s="42">
        <v>202606</v>
      </c>
      <c r="BS95" s="42"/>
      <c r="BT95" s="89" t="s">
        <v>451</v>
      </c>
      <c r="BU95" s="44" t="s">
        <v>451</v>
      </c>
      <c r="BV95" s="44" t="s">
        <v>451</v>
      </c>
    </row>
    <row r="96" spans="1:74" ht="14.25" customHeight="1">
      <c r="A96" s="42">
        <v>5958718</v>
      </c>
      <c r="B96" s="42">
        <v>7</v>
      </c>
      <c r="C96" s="42">
        <v>20603005920</v>
      </c>
      <c r="D96" s="42" t="s">
        <v>119</v>
      </c>
      <c r="E96" s="42" t="s">
        <v>436</v>
      </c>
      <c r="F96" s="42" t="s">
        <v>1090</v>
      </c>
      <c r="G96" s="42" t="s">
        <v>1091</v>
      </c>
      <c r="H96" s="42" t="s">
        <v>439</v>
      </c>
      <c r="I96" s="42">
        <v>1520</v>
      </c>
      <c r="J96" s="42" t="s">
        <v>463</v>
      </c>
      <c r="K96" s="42" t="s">
        <v>1092</v>
      </c>
      <c r="L96" s="42" t="s">
        <v>1093</v>
      </c>
      <c r="M96" s="42" t="s">
        <v>1093</v>
      </c>
      <c r="N96" s="42" t="s">
        <v>1094</v>
      </c>
      <c r="O96" s="42" t="s">
        <v>240</v>
      </c>
      <c r="P96" s="42" t="s">
        <v>457</v>
      </c>
      <c r="Q96" s="42" t="s">
        <v>1095</v>
      </c>
      <c r="R96" s="42">
        <v>20260611</v>
      </c>
      <c r="S96" s="42" t="s">
        <v>116</v>
      </c>
      <c r="T96" s="42" t="s">
        <v>445</v>
      </c>
      <c r="U96" s="42" t="s">
        <v>120</v>
      </c>
      <c r="V96" s="42">
        <v>7003008467310</v>
      </c>
      <c r="W96" s="42">
        <v>936534673</v>
      </c>
      <c r="X96" s="42" t="s">
        <v>117</v>
      </c>
      <c r="Y96" s="42" t="s">
        <v>475</v>
      </c>
      <c r="Z96" s="42" t="s">
        <v>446</v>
      </c>
      <c r="AA96" s="42" t="s">
        <v>447</v>
      </c>
      <c r="AB96" s="42" t="s">
        <v>121</v>
      </c>
      <c r="AC96" s="42" t="s">
        <v>823</v>
      </c>
      <c r="AD96" s="42"/>
      <c r="AE96" s="42" t="s">
        <v>148</v>
      </c>
      <c r="AF96" s="42" t="s">
        <v>240</v>
      </c>
      <c r="AG96" s="42">
        <v>1128</v>
      </c>
      <c r="AH96" s="42" t="s">
        <v>448</v>
      </c>
      <c r="AI96" s="42" t="s">
        <v>679</v>
      </c>
      <c r="AJ96" s="42" t="s">
        <v>184</v>
      </c>
      <c r="AK96" s="42" t="s">
        <v>449</v>
      </c>
      <c r="AL96" s="42" t="s">
        <v>121</v>
      </c>
      <c r="AM96" s="42"/>
      <c r="AN96" s="42" t="s">
        <v>122</v>
      </c>
      <c r="AO96" s="42" t="s">
        <v>1096</v>
      </c>
      <c r="AP96" s="42"/>
      <c r="AQ96" s="42" t="s">
        <v>449</v>
      </c>
      <c r="AR96" s="42" t="s">
        <v>114</v>
      </c>
      <c r="AS96" s="42" t="s">
        <v>114</v>
      </c>
      <c r="AT96" s="42">
        <v>0</v>
      </c>
      <c r="AU96" s="42">
        <v>0</v>
      </c>
      <c r="AV96" s="42" t="s">
        <v>1097</v>
      </c>
      <c r="AW96" s="42" t="s">
        <v>1098</v>
      </c>
      <c r="AX96" s="42"/>
      <c r="AY96" s="42"/>
      <c r="AZ96" s="42">
        <v>1</v>
      </c>
      <c r="BA96" s="89">
        <v>0</v>
      </c>
      <c r="BB96" s="89">
        <v>0</v>
      </c>
      <c r="BC96" s="89">
        <v>0</v>
      </c>
      <c r="BD96" s="89">
        <v>0</v>
      </c>
      <c r="BE96" s="89">
        <v>0</v>
      </c>
      <c r="BF96" s="89">
        <v>0</v>
      </c>
      <c r="BG96" s="89">
        <v>0</v>
      </c>
      <c r="BH96" s="125">
        <v>0</v>
      </c>
      <c r="BI96" s="89">
        <v>0</v>
      </c>
      <c r="BJ96" s="89">
        <v>0</v>
      </c>
      <c r="BK96" s="89">
        <v>0</v>
      </c>
      <c r="BL96" s="89">
        <v>0</v>
      </c>
      <c r="BM96" s="89">
        <v>0</v>
      </c>
      <c r="BN96" s="89" t="s">
        <v>461</v>
      </c>
      <c r="BO96" s="42" t="s">
        <v>461</v>
      </c>
      <c r="BP96" s="42"/>
      <c r="BQ96" s="42"/>
      <c r="BR96" s="42">
        <v>202606</v>
      </c>
      <c r="BS96" s="42"/>
      <c r="BT96" s="89" t="s">
        <v>451</v>
      </c>
      <c r="BU96" s="44" t="s">
        <v>451</v>
      </c>
      <c r="BV96" s="44" t="s">
        <v>451</v>
      </c>
    </row>
    <row r="97" spans="1:74" ht="14.25" customHeight="1">
      <c r="A97" s="42">
        <v>5958847</v>
      </c>
      <c r="B97" s="42">
        <v>7</v>
      </c>
      <c r="C97" s="42">
        <v>20613042351</v>
      </c>
      <c r="D97" s="42" t="s">
        <v>119</v>
      </c>
      <c r="E97" s="42" t="s">
        <v>436</v>
      </c>
      <c r="F97" s="42" t="s">
        <v>1112</v>
      </c>
      <c r="G97" s="42" t="s">
        <v>1113</v>
      </c>
      <c r="H97" s="42" t="s">
        <v>439</v>
      </c>
      <c r="I97" s="42">
        <v>1520</v>
      </c>
      <c r="J97" s="42" t="s">
        <v>463</v>
      </c>
      <c r="K97" s="42" t="s">
        <v>1114</v>
      </c>
      <c r="L97" s="42" t="s">
        <v>507</v>
      </c>
      <c r="M97" s="42" t="s">
        <v>122</v>
      </c>
      <c r="N97" s="42" t="s">
        <v>122</v>
      </c>
      <c r="O97" s="42" t="s">
        <v>443</v>
      </c>
      <c r="P97" s="42" t="s">
        <v>122</v>
      </c>
      <c r="Q97" s="42" t="s">
        <v>1115</v>
      </c>
      <c r="R97" s="42">
        <v>20260611</v>
      </c>
      <c r="S97" s="42" t="s">
        <v>116</v>
      </c>
      <c r="T97" s="42" t="s">
        <v>445</v>
      </c>
      <c r="U97" s="42" t="s">
        <v>120</v>
      </c>
      <c r="V97" s="42">
        <v>2003006335142</v>
      </c>
      <c r="W97" s="42">
        <v>938934468</v>
      </c>
      <c r="X97" s="42" t="s">
        <v>117</v>
      </c>
      <c r="Y97" s="42" t="s">
        <v>905</v>
      </c>
      <c r="Z97" s="42" t="s">
        <v>446</v>
      </c>
      <c r="AA97" s="42" t="s">
        <v>447</v>
      </c>
      <c r="AB97" s="42" t="s">
        <v>121</v>
      </c>
      <c r="AC97" s="42" t="s">
        <v>179</v>
      </c>
      <c r="AD97" s="42"/>
      <c r="AE97" s="42" t="s">
        <v>148</v>
      </c>
      <c r="AF97" s="42" t="s">
        <v>122</v>
      </c>
      <c r="AG97" s="42">
        <v>1128</v>
      </c>
      <c r="AH97" s="42" t="s">
        <v>448</v>
      </c>
      <c r="AI97" s="42" t="s">
        <v>679</v>
      </c>
      <c r="AJ97" s="42" t="s">
        <v>680</v>
      </c>
      <c r="AK97" s="42" t="s">
        <v>449</v>
      </c>
      <c r="AL97" s="42" t="s">
        <v>121</v>
      </c>
      <c r="AM97" s="42"/>
      <c r="AN97" s="42" t="s">
        <v>122</v>
      </c>
      <c r="AO97" s="42" t="s">
        <v>477</v>
      </c>
      <c r="AP97" s="42"/>
      <c r="AQ97" s="42" t="s">
        <v>449</v>
      </c>
      <c r="AR97" s="42" t="s">
        <v>114</v>
      </c>
      <c r="AS97" s="42" t="s">
        <v>114</v>
      </c>
      <c r="AT97" s="42">
        <v>0</v>
      </c>
      <c r="AU97" s="42">
        <v>0</v>
      </c>
      <c r="AV97" s="42"/>
      <c r="AW97" s="42"/>
      <c r="AX97" s="42" t="s">
        <v>179</v>
      </c>
      <c r="AY97" s="42" t="s">
        <v>451</v>
      </c>
      <c r="AZ97" s="42">
        <v>1</v>
      </c>
      <c r="BA97" s="89">
        <v>0</v>
      </c>
      <c r="BB97" s="89">
        <v>0</v>
      </c>
      <c r="BC97" s="89">
        <v>0</v>
      </c>
      <c r="BD97" s="89">
        <v>0</v>
      </c>
      <c r="BE97" s="89">
        <v>0</v>
      </c>
      <c r="BF97" s="89">
        <v>0</v>
      </c>
      <c r="BG97" s="89">
        <v>0</v>
      </c>
      <c r="BH97" s="125">
        <v>0</v>
      </c>
      <c r="BI97" s="89">
        <v>0</v>
      </c>
      <c r="BJ97" s="89">
        <v>0</v>
      </c>
      <c r="BK97" s="89">
        <v>0</v>
      </c>
      <c r="BL97" s="89">
        <v>0</v>
      </c>
      <c r="BM97" s="89">
        <v>0</v>
      </c>
      <c r="BN97" s="89"/>
      <c r="BO97" s="42"/>
      <c r="BP97" s="42"/>
      <c r="BQ97" s="42"/>
      <c r="BR97" s="42">
        <v>202606</v>
      </c>
      <c r="BS97" s="42"/>
      <c r="BT97" s="89" t="s">
        <v>451</v>
      </c>
      <c r="BU97" s="44" t="s">
        <v>451</v>
      </c>
      <c r="BV97" s="44" t="s">
        <v>451</v>
      </c>
    </row>
    <row r="98" spans="1:74" ht="14.25" customHeight="1">
      <c r="A98" s="42">
        <v>5958724</v>
      </c>
      <c r="B98" s="42">
        <v>7</v>
      </c>
      <c r="C98" s="42">
        <v>20603005920</v>
      </c>
      <c r="D98" s="42" t="s">
        <v>119</v>
      </c>
      <c r="E98" s="42" t="s">
        <v>436</v>
      </c>
      <c r="F98" s="42" t="s">
        <v>1090</v>
      </c>
      <c r="G98" s="42" t="s">
        <v>1091</v>
      </c>
      <c r="H98" s="42" t="s">
        <v>439</v>
      </c>
      <c r="I98" s="42">
        <v>1520</v>
      </c>
      <c r="J98" s="42" t="s">
        <v>463</v>
      </c>
      <c r="K98" s="42" t="s">
        <v>1092</v>
      </c>
      <c r="L98" s="42" t="s">
        <v>1093</v>
      </c>
      <c r="M98" s="42" t="s">
        <v>1093</v>
      </c>
      <c r="N98" s="42" t="s">
        <v>1094</v>
      </c>
      <c r="O98" s="42" t="s">
        <v>240</v>
      </c>
      <c r="P98" s="42" t="s">
        <v>457</v>
      </c>
      <c r="Q98" s="42" t="s">
        <v>1095</v>
      </c>
      <c r="R98" s="42">
        <v>20260611</v>
      </c>
      <c r="S98" s="42" t="s">
        <v>116</v>
      </c>
      <c r="T98" s="42" t="s">
        <v>445</v>
      </c>
      <c r="U98" s="42" t="s">
        <v>120</v>
      </c>
      <c r="V98" s="42">
        <v>7003008467310</v>
      </c>
      <c r="W98" s="42">
        <v>936534673</v>
      </c>
      <c r="X98" s="42" t="s">
        <v>117</v>
      </c>
      <c r="Y98" s="42" t="s">
        <v>475</v>
      </c>
      <c r="Z98" s="42" t="s">
        <v>446</v>
      </c>
      <c r="AA98" s="42" t="s">
        <v>447</v>
      </c>
      <c r="AB98" s="42" t="s">
        <v>121</v>
      </c>
      <c r="AC98" s="42" t="s">
        <v>823</v>
      </c>
      <c r="AD98" s="42"/>
      <c r="AE98" s="42" t="s">
        <v>148</v>
      </c>
      <c r="AF98" s="42" t="s">
        <v>240</v>
      </c>
      <c r="AG98" s="42">
        <v>1128</v>
      </c>
      <c r="AH98" s="42" t="s">
        <v>448</v>
      </c>
      <c r="AI98" s="42" t="s">
        <v>679</v>
      </c>
      <c r="AJ98" s="42" t="s">
        <v>184</v>
      </c>
      <c r="AK98" s="42" t="s">
        <v>449</v>
      </c>
      <c r="AL98" s="42" t="s">
        <v>121</v>
      </c>
      <c r="AM98" s="42"/>
      <c r="AN98" s="42" t="s">
        <v>122</v>
      </c>
      <c r="AO98" s="42" t="s">
        <v>1096</v>
      </c>
      <c r="AP98" s="42"/>
      <c r="AQ98" s="42" t="s">
        <v>449</v>
      </c>
      <c r="AR98" s="42" t="s">
        <v>114</v>
      </c>
      <c r="AS98" s="42" t="s">
        <v>114</v>
      </c>
      <c r="AT98" s="42">
        <v>0</v>
      </c>
      <c r="AU98" s="42">
        <v>0</v>
      </c>
      <c r="AV98" s="42" t="s">
        <v>1097</v>
      </c>
      <c r="AW98" s="42" t="s">
        <v>1098</v>
      </c>
      <c r="AX98" s="42"/>
      <c r="AY98" s="42"/>
      <c r="AZ98" s="42">
        <v>1</v>
      </c>
      <c r="BA98" s="89">
        <v>0</v>
      </c>
      <c r="BB98" s="89">
        <v>0</v>
      </c>
      <c r="BC98" s="89">
        <v>0</v>
      </c>
      <c r="BD98" s="89">
        <v>0</v>
      </c>
      <c r="BE98" s="89">
        <v>0</v>
      </c>
      <c r="BF98" s="89">
        <v>0</v>
      </c>
      <c r="BG98" s="89">
        <v>0</v>
      </c>
      <c r="BH98" s="125">
        <v>0</v>
      </c>
      <c r="BI98" s="89">
        <v>0</v>
      </c>
      <c r="BJ98" s="89">
        <v>0</v>
      </c>
      <c r="BK98" s="89">
        <v>0</v>
      </c>
      <c r="BL98" s="89">
        <v>0</v>
      </c>
      <c r="BM98" s="89">
        <v>0</v>
      </c>
      <c r="BN98" s="89" t="s">
        <v>461</v>
      </c>
      <c r="BO98" s="42" t="s">
        <v>461</v>
      </c>
      <c r="BP98" s="42"/>
      <c r="BQ98" s="42"/>
      <c r="BR98" s="42">
        <v>202606</v>
      </c>
      <c r="BS98" s="42"/>
      <c r="BT98" s="89" t="s">
        <v>451</v>
      </c>
      <c r="BU98" s="44" t="s">
        <v>451</v>
      </c>
      <c r="BV98" s="44" t="s">
        <v>451</v>
      </c>
    </row>
    <row r="99" spans="1:74" ht="14.25" customHeight="1">
      <c r="A99" s="42">
        <v>5959201</v>
      </c>
      <c r="B99" s="42">
        <v>7</v>
      </c>
      <c r="C99" s="42">
        <v>20569332801</v>
      </c>
      <c r="D99" s="42" t="s">
        <v>119</v>
      </c>
      <c r="E99" s="42" t="s">
        <v>436</v>
      </c>
      <c r="F99" s="42" t="s">
        <v>1099</v>
      </c>
      <c r="G99" s="42" t="s">
        <v>1100</v>
      </c>
      <c r="H99" s="42" t="s">
        <v>439</v>
      </c>
      <c r="I99" s="42">
        <v>5137</v>
      </c>
      <c r="J99" s="42" t="s">
        <v>577</v>
      </c>
      <c r="K99" s="42" t="s">
        <v>1101</v>
      </c>
      <c r="L99" s="42" t="s">
        <v>986</v>
      </c>
      <c r="M99" s="42" t="s">
        <v>987</v>
      </c>
      <c r="N99" s="42" t="s">
        <v>456</v>
      </c>
      <c r="O99" s="42" t="s">
        <v>292</v>
      </c>
      <c r="P99" s="42" t="s">
        <v>457</v>
      </c>
      <c r="Q99" s="42" t="s">
        <v>1102</v>
      </c>
      <c r="R99" s="42">
        <v>20260612</v>
      </c>
      <c r="S99" s="42" t="s">
        <v>116</v>
      </c>
      <c r="T99" s="42" t="s">
        <v>445</v>
      </c>
      <c r="U99" s="42" t="s">
        <v>120</v>
      </c>
      <c r="V99" s="42">
        <v>6203003576829</v>
      </c>
      <c r="W99" s="42">
        <v>981228039</v>
      </c>
      <c r="X99" s="42" t="s">
        <v>117</v>
      </c>
      <c r="Y99" s="42" t="s">
        <v>475</v>
      </c>
      <c r="Z99" s="42" t="s">
        <v>446</v>
      </c>
      <c r="AA99" s="42" t="s">
        <v>447</v>
      </c>
      <c r="AB99" s="42" t="s">
        <v>121</v>
      </c>
      <c r="AC99" s="42" t="s">
        <v>162</v>
      </c>
      <c r="AD99" s="42"/>
      <c r="AE99" s="42" t="s">
        <v>148</v>
      </c>
      <c r="AF99" s="42" t="s">
        <v>986</v>
      </c>
      <c r="AG99" s="42">
        <v>1128</v>
      </c>
      <c r="AH99" s="42" t="s">
        <v>448</v>
      </c>
      <c r="AI99" s="42" t="s">
        <v>679</v>
      </c>
      <c r="AJ99" s="42" t="s">
        <v>184</v>
      </c>
      <c r="AK99" s="42" t="s">
        <v>449</v>
      </c>
      <c r="AL99" s="42" t="s">
        <v>121</v>
      </c>
      <c r="AM99" s="42"/>
      <c r="AN99" s="42" t="s">
        <v>122</v>
      </c>
      <c r="AO99" s="42" t="s">
        <v>699</v>
      </c>
      <c r="AP99" s="42"/>
      <c r="AQ99" s="42" t="s">
        <v>449</v>
      </c>
      <c r="AR99" s="42" t="s">
        <v>114</v>
      </c>
      <c r="AS99" s="42" t="s">
        <v>114</v>
      </c>
      <c r="AT99" s="42">
        <v>0</v>
      </c>
      <c r="AU99" s="42">
        <v>0</v>
      </c>
      <c r="AV99" s="42" t="s">
        <v>1103</v>
      </c>
      <c r="AW99" s="42" t="s">
        <v>1104</v>
      </c>
      <c r="AX99" s="42"/>
      <c r="AY99" s="42"/>
      <c r="AZ99" s="42">
        <v>1</v>
      </c>
      <c r="BA99" s="89">
        <v>2</v>
      </c>
      <c r="BB99" s="89">
        <v>1</v>
      </c>
      <c r="BC99" s="89">
        <v>2</v>
      </c>
      <c r="BD99" s="89">
        <v>1</v>
      </c>
      <c r="BE99" s="89">
        <v>2</v>
      </c>
      <c r="BF99" s="89">
        <v>1</v>
      </c>
      <c r="BG99" s="89">
        <v>1</v>
      </c>
      <c r="BH99" s="125">
        <v>1</v>
      </c>
      <c r="BI99" s="89">
        <v>1</v>
      </c>
      <c r="BJ99" s="89">
        <v>1</v>
      </c>
      <c r="BK99" s="89">
        <v>1</v>
      </c>
      <c r="BL99" s="89">
        <v>1</v>
      </c>
      <c r="BM99" s="89">
        <v>2</v>
      </c>
      <c r="BN99" s="89" t="s">
        <v>461</v>
      </c>
      <c r="BO99" s="42" t="s">
        <v>461</v>
      </c>
      <c r="BP99" s="42"/>
      <c r="BQ99" s="42"/>
      <c r="BR99" s="42">
        <v>202606</v>
      </c>
      <c r="BS99" s="42">
        <v>202606</v>
      </c>
      <c r="BT99" s="89">
        <v>1</v>
      </c>
      <c r="BU99" s="44">
        <v>0</v>
      </c>
      <c r="BV99" s="44">
        <v>1</v>
      </c>
    </row>
    <row r="100" spans="1:74" ht="14.25" customHeight="1">
      <c r="A100" s="42">
        <v>5960316</v>
      </c>
      <c r="B100" s="42">
        <v>1</v>
      </c>
      <c r="C100" s="42">
        <v>20614521997</v>
      </c>
      <c r="D100" s="42" t="s">
        <v>119</v>
      </c>
      <c r="E100" s="42" t="s">
        <v>452</v>
      </c>
      <c r="F100" s="42" t="s">
        <v>1127</v>
      </c>
      <c r="G100" s="42" t="s">
        <v>1128</v>
      </c>
      <c r="H100" s="42" t="s">
        <v>439</v>
      </c>
      <c r="I100" s="42">
        <v>5085</v>
      </c>
      <c r="J100" s="42" t="s">
        <v>1129</v>
      </c>
      <c r="K100" s="42" t="s">
        <v>1133</v>
      </c>
      <c r="L100" s="42" t="s">
        <v>1131</v>
      </c>
      <c r="M100" s="42" t="s">
        <v>987</v>
      </c>
      <c r="N100" s="42" t="s">
        <v>456</v>
      </c>
      <c r="O100" s="42" t="s">
        <v>292</v>
      </c>
      <c r="P100" s="42" t="s">
        <v>457</v>
      </c>
      <c r="Q100" s="42" t="s">
        <v>458</v>
      </c>
      <c r="R100" s="42">
        <v>20260615</v>
      </c>
      <c r="S100" s="42" t="s">
        <v>116</v>
      </c>
      <c r="T100" s="42" t="s">
        <v>445</v>
      </c>
      <c r="U100" s="42" t="s">
        <v>499</v>
      </c>
      <c r="V100" s="42">
        <v>1917309995031</v>
      </c>
      <c r="W100" s="42">
        <v>994360034</v>
      </c>
      <c r="X100" s="42" t="s">
        <v>117</v>
      </c>
      <c r="Y100" s="42" t="s">
        <v>863</v>
      </c>
      <c r="Z100" s="42" t="s">
        <v>446</v>
      </c>
      <c r="AA100" s="42" t="s">
        <v>447</v>
      </c>
      <c r="AB100" s="42" t="s">
        <v>121</v>
      </c>
      <c r="AC100" s="42" t="s">
        <v>179</v>
      </c>
      <c r="AD100" s="42"/>
      <c r="AE100" s="42" t="s">
        <v>148</v>
      </c>
      <c r="AF100" s="42" t="s">
        <v>986</v>
      </c>
      <c r="AG100" s="42">
        <v>1128</v>
      </c>
      <c r="AH100" s="42" t="s">
        <v>448</v>
      </c>
      <c r="AI100" s="42" t="s">
        <v>679</v>
      </c>
      <c r="AJ100" s="42" t="s">
        <v>680</v>
      </c>
      <c r="AK100" s="42" t="s">
        <v>449</v>
      </c>
      <c r="AL100" s="42" t="s">
        <v>121</v>
      </c>
      <c r="AM100" s="42"/>
      <c r="AN100" s="42" t="s">
        <v>122</v>
      </c>
      <c r="AO100" s="42" t="s">
        <v>477</v>
      </c>
      <c r="AP100" s="42"/>
      <c r="AQ100" s="42" t="s">
        <v>449</v>
      </c>
      <c r="AR100" s="42" t="s">
        <v>114</v>
      </c>
      <c r="AS100" s="42" t="s">
        <v>114</v>
      </c>
      <c r="AT100" s="42">
        <v>0</v>
      </c>
      <c r="AU100" s="42">
        <v>0</v>
      </c>
      <c r="AV100" s="42"/>
      <c r="AW100" s="42"/>
      <c r="AX100" s="42" t="s">
        <v>179</v>
      </c>
      <c r="AY100" s="42" t="s">
        <v>451</v>
      </c>
      <c r="AZ100" s="42">
        <v>1</v>
      </c>
      <c r="BA100" s="89">
        <v>3</v>
      </c>
      <c r="BB100" s="89">
        <v>3</v>
      </c>
      <c r="BC100" s="89">
        <v>3</v>
      </c>
      <c r="BD100" s="89">
        <v>3</v>
      </c>
      <c r="BE100" s="89">
        <v>1</v>
      </c>
      <c r="BF100" s="89">
        <v>0</v>
      </c>
      <c r="BG100" s="89">
        <v>1</v>
      </c>
      <c r="BH100" s="125">
        <v>3</v>
      </c>
      <c r="BI100" s="89">
        <v>0.33333333333333331</v>
      </c>
      <c r="BJ100" s="89">
        <v>0.33333333333333331</v>
      </c>
      <c r="BK100" s="89">
        <v>1</v>
      </c>
      <c r="BL100" s="89">
        <v>1</v>
      </c>
      <c r="BM100" s="89">
        <v>1</v>
      </c>
      <c r="BN100" s="89"/>
      <c r="BO100" s="42"/>
      <c r="BP100" s="42"/>
      <c r="BQ100" s="42"/>
      <c r="BR100" s="42">
        <v>202606</v>
      </c>
      <c r="BS100" s="42">
        <v>202606</v>
      </c>
      <c r="BT100" s="89">
        <v>1</v>
      </c>
      <c r="BU100" s="44">
        <v>0</v>
      </c>
      <c r="BV100" s="44">
        <v>1</v>
      </c>
    </row>
    <row r="101" spans="1:74" ht="14.25" customHeight="1">
      <c r="A101" s="42">
        <v>5960318</v>
      </c>
      <c r="B101" s="42">
        <v>1</v>
      </c>
      <c r="C101" s="42">
        <v>20614521997</v>
      </c>
      <c r="D101" s="42" t="s">
        <v>119</v>
      </c>
      <c r="E101" s="42" t="s">
        <v>452</v>
      </c>
      <c r="F101" s="42" t="s">
        <v>1127</v>
      </c>
      <c r="G101" s="42" t="s">
        <v>1128</v>
      </c>
      <c r="H101" s="42" t="s">
        <v>439</v>
      </c>
      <c r="I101" s="42">
        <v>5085</v>
      </c>
      <c r="J101" s="42" t="s">
        <v>1129</v>
      </c>
      <c r="K101" s="42" t="s">
        <v>1134</v>
      </c>
      <c r="L101" s="42" t="s">
        <v>1131</v>
      </c>
      <c r="M101" s="42" t="s">
        <v>987</v>
      </c>
      <c r="N101" s="42" t="s">
        <v>456</v>
      </c>
      <c r="O101" s="42" t="s">
        <v>292</v>
      </c>
      <c r="P101" s="42" t="s">
        <v>457</v>
      </c>
      <c r="Q101" s="42" t="s">
        <v>458</v>
      </c>
      <c r="R101" s="42">
        <v>20260615</v>
      </c>
      <c r="S101" s="42" t="s">
        <v>116</v>
      </c>
      <c r="T101" s="42" t="s">
        <v>445</v>
      </c>
      <c r="U101" s="42" t="s">
        <v>499</v>
      </c>
      <c r="V101" s="42">
        <v>1917309995031</v>
      </c>
      <c r="W101" s="42">
        <v>994360034</v>
      </c>
      <c r="X101" s="42" t="s">
        <v>117</v>
      </c>
      <c r="Y101" s="42" t="s">
        <v>864</v>
      </c>
      <c r="Z101" s="42" t="s">
        <v>446</v>
      </c>
      <c r="AA101" s="42" t="s">
        <v>447</v>
      </c>
      <c r="AB101" s="42" t="s">
        <v>121</v>
      </c>
      <c r="AC101" s="42" t="s">
        <v>179</v>
      </c>
      <c r="AD101" s="42"/>
      <c r="AE101" s="42" t="s">
        <v>148</v>
      </c>
      <c r="AF101" s="42" t="s">
        <v>986</v>
      </c>
      <c r="AG101" s="42">
        <v>1128</v>
      </c>
      <c r="AH101" s="42" t="s">
        <v>448</v>
      </c>
      <c r="AI101" s="42" t="s">
        <v>679</v>
      </c>
      <c r="AJ101" s="42" t="s">
        <v>680</v>
      </c>
      <c r="AK101" s="42" t="s">
        <v>449</v>
      </c>
      <c r="AL101" s="42" t="s">
        <v>121</v>
      </c>
      <c r="AM101" s="42"/>
      <c r="AN101" s="42" t="s">
        <v>122</v>
      </c>
      <c r="AO101" s="42" t="s">
        <v>477</v>
      </c>
      <c r="AP101" s="42"/>
      <c r="AQ101" s="42" t="s">
        <v>449</v>
      </c>
      <c r="AR101" s="42" t="s">
        <v>114</v>
      </c>
      <c r="AS101" s="42" t="s">
        <v>114</v>
      </c>
      <c r="AT101" s="42">
        <v>0</v>
      </c>
      <c r="AU101" s="42">
        <v>0</v>
      </c>
      <c r="AV101" s="42"/>
      <c r="AW101" s="42"/>
      <c r="AX101" s="42" t="s">
        <v>179</v>
      </c>
      <c r="AY101" s="42" t="s">
        <v>451</v>
      </c>
      <c r="AZ101" s="42">
        <v>1</v>
      </c>
      <c r="BA101" s="89">
        <v>3</v>
      </c>
      <c r="BB101" s="89">
        <v>3</v>
      </c>
      <c r="BC101" s="89">
        <v>3</v>
      </c>
      <c r="BD101" s="89">
        <v>3</v>
      </c>
      <c r="BE101" s="89">
        <v>1</v>
      </c>
      <c r="BF101" s="89">
        <v>0</v>
      </c>
      <c r="BG101" s="89">
        <v>1</v>
      </c>
      <c r="BH101" s="125">
        <v>3</v>
      </c>
      <c r="BI101" s="89">
        <v>0.33333333333333331</v>
      </c>
      <c r="BJ101" s="89">
        <v>0.33333333333333331</v>
      </c>
      <c r="BK101" s="89">
        <v>1</v>
      </c>
      <c r="BL101" s="89">
        <v>1</v>
      </c>
      <c r="BM101" s="89">
        <v>1</v>
      </c>
      <c r="BN101" s="89"/>
      <c r="BO101" s="42"/>
      <c r="BP101" s="42"/>
      <c r="BQ101" s="42"/>
      <c r="BR101" s="42">
        <v>202606</v>
      </c>
      <c r="BS101" s="42">
        <v>202606</v>
      </c>
      <c r="BT101" s="89">
        <v>1</v>
      </c>
      <c r="BU101" s="44">
        <v>0</v>
      </c>
      <c r="BV101" s="44">
        <v>1</v>
      </c>
    </row>
    <row r="102" spans="1:74" ht="14.25" customHeight="1">
      <c r="A102" s="42">
        <v>5960313</v>
      </c>
      <c r="B102" s="42">
        <v>1</v>
      </c>
      <c r="C102" s="42">
        <v>20614521997</v>
      </c>
      <c r="D102" s="42" t="s">
        <v>119</v>
      </c>
      <c r="E102" s="42" t="s">
        <v>452</v>
      </c>
      <c r="F102" s="42" t="s">
        <v>1127</v>
      </c>
      <c r="G102" s="42" t="s">
        <v>1128</v>
      </c>
      <c r="H102" s="42" t="s">
        <v>439</v>
      </c>
      <c r="I102" s="42">
        <v>5085</v>
      </c>
      <c r="J102" s="42" t="s">
        <v>1129</v>
      </c>
      <c r="K102" s="42" t="s">
        <v>1130</v>
      </c>
      <c r="L102" s="42" t="s">
        <v>1131</v>
      </c>
      <c r="M102" s="42" t="s">
        <v>987</v>
      </c>
      <c r="N102" s="42" t="s">
        <v>456</v>
      </c>
      <c r="O102" s="42" t="s">
        <v>292</v>
      </c>
      <c r="P102" s="42" t="s">
        <v>457</v>
      </c>
      <c r="Q102" s="42" t="s">
        <v>458</v>
      </c>
      <c r="R102" s="42">
        <v>20260615</v>
      </c>
      <c r="S102" s="42" t="s">
        <v>116</v>
      </c>
      <c r="T102" s="42" t="s">
        <v>445</v>
      </c>
      <c r="U102" s="42" t="s">
        <v>499</v>
      </c>
      <c r="V102" s="42">
        <v>1917309995031</v>
      </c>
      <c r="W102" s="42">
        <v>994360034</v>
      </c>
      <c r="X102" s="42" t="s">
        <v>117</v>
      </c>
      <c r="Y102" s="42" t="s">
        <v>860</v>
      </c>
      <c r="Z102" s="42" t="s">
        <v>446</v>
      </c>
      <c r="AA102" s="42" t="s">
        <v>447</v>
      </c>
      <c r="AB102" s="42" t="s">
        <v>121</v>
      </c>
      <c r="AC102" s="42" t="s">
        <v>179</v>
      </c>
      <c r="AD102" s="42"/>
      <c r="AE102" s="42" t="s">
        <v>148</v>
      </c>
      <c r="AF102" s="42" t="s">
        <v>986</v>
      </c>
      <c r="AG102" s="42">
        <v>1128</v>
      </c>
      <c r="AH102" s="42" t="s">
        <v>448</v>
      </c>
      <c r="AI102" s="42" t="s">
        <v>679</v>
      </c>
      <c r="AJ102" s="42" t="s">
        <v>680</v>
      </c>
      <c r="AK102" s="42" t="s">
        <v>449</v>
      </c>
      <c r="AL102" s="42" t="s">
        <v>121</v>
      </c>
      <c r="AM102" s="42"/>
      <c r="AN102" s="42" t="s">
        <v>122</v>
      </c>
      <c r="AO102" s="42" t="s">
        <v>477</v>
      </c>
      <c r="AP102" s="42"/>
      <c r="AQ102" s="42" t="s">
        <v>449</v>
      </c>
      <c r="AR102" s="42" t="s">
        <v>114</v>
      </c>
      <c r="AS102" s="42" t="s">
        <v>114</v>
      </c>
      <c r="AT102" s="42">
        <v>0</v>
      </c>
      <c r="AU102" s="42">
        <v>0</v>
      </c>
      <c r="AV102" s="42"/>
      <c r="AW102" s="42"/>
      <c r="AX102" s="42" t="s">
        <v>179</v>
      </c>
      <c r="AY102" s="42" t="s">
        <v>451</v>
      </c>
      <c r="AZ102" s="42">
        <v>1</v>
      </c>
      <c r="BA102" s="89">
        <v>3</v>
      </c>
      <c r="BB102" s="89">
        <v>3</v>
      </c>
      <c r="BC102" s="89">
        <v>3</v>
      </c>
      <c r="BD102" s="89">
        <v>3</v>
      </c>
      <c r="BE102" s="89">
        <v>1</v>
      </c>
      <c r="BF102" s="89">
        <v>0</v>
      </c>
      <c r="BG102" s="89">
        <v>1</v>
      </c>
      <c r="BH102" s="125">
        <v>3</v>
      </c>
      <c r="BI102" s="89">
        <v>0.33333333333333331</v>
      </c>
      <c r="BJ102" s="89">
        <v>0.33333333333333331</v>
      </c>
      <c r="BK102" s="89">
        <v>1</v>
      </c>
      <c r="BL102" s="89">
        <v>1</v>
      </c>
      <c r="BM102" s="89">
        <v>1</v>
      </c>
      <c r="BN102" s="89"/>
      <c r="BO102" s="42"/>
      <c r="BP102" s="42"/>
      <c r="BQ102" s="42"/>
      <c r="BR102" s="42">
        <v>202606</v>
      </c>
      <c r="BS102" s="42">
        <v>202606</v>
      </c>
      <c r="BT102" s="89">
        <v>1</v>
      </c>
      <c r="BU102" s="44">
        <v>0</v>
      </c>
      <c r="BV102" s="44">
        <v>1</v>
      </c>
    </row>
    <row r="103" spans="1:74" ht="14.25" customHeight="1">
      <c r="A103" s="42">
        <v>5960659</v>
      </c>
      <c r="B103" s="42">
        <v>7</v>
      </c>
      <c r="C103" s="42">
        <v>20615813410</v>
      </c>
      <c r="D103" s="42" t="s">
        <v>119</v>
      </c>
      <c r="E103" s="42" t="s">
        <v>436</v>
      </c>
      <c r="F103" s="42" t="s">
        <v>1105</v>
      </c>
      <c r="G103" s="42" t="s">
        <v>1106</v>
      </c>
      <c r="H103" s="42" t="s">
        <v>439</v>
      </c>
      <c r="I103" s="42">
        <v>5331</v>
      </c>
      <c r="J103" s="42" t="s">
        <v>1074</v>
      </c>
      <c r="K103" s="42" t="s">
        <v>1107</v>
      </c>
      <c r="L103" s="42" t="s">
        <v>1108</v>
      </c>
      <c r="M103" s="42" t="s">
        <v>122</v>
      </c>
      <c r="N103" s="42" t="s">
        <v>122</v>
      </c>
      <c r="O103" s="42"/>
      <c r="P103" s="42" t="s">
        <v>122</v>
      </c>
      <c r="Q103" s="42" t="s">
        <v>1109</v>
      </c>
      <c r="R103" s="42">
        <v>20260616</v>
      </c>
      <c r="S103" s="42" t="s">
        <v>1110</v>
      </c>
      <c r="T103" s="42" t="s">
        <v>445</v>
      </c>
      <c r="U103" s="42" t="s">
        <v>720</v>
      </c>
      <c r="V103" s="42">
        <v>1.1010627010006E+17</v>
      </c>
      <c r="W103" s="42">
        <v>953105252</v>
      </c>
      <c r="X103" s="42" t="s">
        <v>1111</v>
      </c>
      <c r="Y103" s="42" t="s">
        <v>475</v>
      </c>
      <c r="Z103" s="42" t="s">
        <v>446</v>
      </c>
      <c r="AA103" s="42" t="s">
        <v>447</v>
      </c>
      <c r="AB103" s="42" t="s">
        <v>121</v>
      </c>
      <c r="AC103" s="42" t="s">
        <v>125</v>
      </c>
      <c r="AD103" s="42"/>
      <c r="AE103" s="42" t="s">
        <v>148</v>
      </c>
      <c r="AF103" s="42"/>
      <c r="AG103" s="42">
        <v>1128</v>
      </c>
      <c r="AH103" s="42" t="s">
        <v>448</v>
      </c>
      <c r="AI103" s="42" t="s">
        <v>679</v>
      </c>
      <c r="AJ103" s="42" t="s">
        <v>184</v>
      </c>
      <c r="AK103" s="42" t="s">
        <v>449</v>
      </c>
      <c r="AL103" s="42" t="s">
        <v>121</v>
      </c>
      <c r="AM103" s="42"/>
      <c r="AN103" s="42" t="s">
        <v>122</v>
      </c>
      <c r="AO103" s="42" t="s">
        <v>126</v>
      </c>
      <c r="AP103" s="42"/>
      <c r="AQ103" s="42" t="s">
        <v>449</v>
      </c>
      <c r="AR103" s="42" t="s">
        <v>114</v>
      </c>
      <c r="AS103" s="42" t="s">
        <v>114</v>
      </c>
      <c r="AT103" s="42">
        <v>0</v>
      </c>
      <c r="AU103" s="42">
        <v>0</v>
      </c>
      <c r="AV103" s="42"/>
      <c r="AW103" s="42"/>
      <c r="AX103" s="42" t="s">
        <v>125</v>
      </c>
      <c r="AY103" s="42"/>
      <c r="AZ103" s="42">
        <v>1</v>
      </c>
      <c r="BA103" s="89">
        <v>0</v>
      </c>
      <c r="BB103" s="89">
        <v>0</v>
      </c>
      <c r="BC103" s="89">
        <v>0</v>
      </c>
      <c r="BD103" s="89">
        <v>0</v>
      </c>
      <c r="BE103" s="89">
        <v>0</v>
      </c>
      <c r="BF103" s="89">
        <v>0</v>
      </c>
      <c r="BG103" s="89">
        <v>0</v>
      </c>
      <c r="BH103" s="125">
        <v>0</v>
      </c>
      <c r="BI103" s="89">
        <v>0</v>
      </c>
      <c r="BJ103" s="89">
        <v>0</v>
      </c>
      <c r="BK103" s="89">
        <v>0</v>
      </c>
      <c r="BL103" s="89">
        <v>0</v>
      </c>
      <c r="BM103" s="89">
        <v>0</v>
      </c>
      <c r="BN103" s="89"/>
      <c r="BO103" s="42"/>
      <c r="BP103" s="42"/>
      <c r="BQ103" s="42"/>
      <c r="BR103" s="42">
        <v>202606</v>
      </c>
      <c r="BS103" s="42"/>
      <c r="BT103" s="89" t="s">
        <v>451</v>
      </c>
      <c r="BU103" s="44" t="s">
        <v>451</v>
      </c>
      <c r="BV103" s="44" t="s">
        <v>451</v>
      </c>
    </row>
    <row r="104" spans="1:74" ht="14.25" customHeight="1">
      <c r="A104" s="42">
        <v>5960725</v>
      </c>
      <c r="B104" s="42">
        <v>7</v>
      </c>
      <c r="C104" s="42">
        <v>20535913294</v>
      </c>
      <c r="D104" s="42" t="s">
        <v>645</v>
      </c>
      <c r="E104" s="42" t="s">
        <v>436</v>
      </c>
      <c r="F104" s="42" t="s">
        <v>1084</v>
      </c>
      <c r="G104" s="42" t="s">
        <v>881</v>
      </c>
      <c r="H104" s="42" t="s">
        <v>439</v>
      </c>
      <c r="I104" s="42">
        <v>5511</v>
      </c>
      <c r="J104" s="42" t="s">
        <v>1085</v>
      </c>
      <c r="K104" s="42" t="s">
        <v>1086</v>
      </c>
      <c r="L104" s="42" t="s">
        <v>1013</v>
      </c>
      <c r="M104" s="42" t="s">
        <v>122</v>
      </c>
      <c r="N104" s="42" t="s">
        <v>122</v>
      </c>
      <c r="O104" s="42" t="s">
        <v>443</v>
      </c>
      <c r="P104" s="42" t="s">
        <v>122</v>
      </c>
      <c r="Q104" s="42" t="s">
        <v>1087</v>
      </c>
      <c r="R104" s="42">
        <v>20260616</v>
      </c>
      <c r="S104" s="42" t="s">
        <v>116</v>
      </c>
      <c r="T104" s="42" t="s">
        <v>445</v>
      </c>
      <c r="U104" s="42" t="s">
        <v>120</v>
      </c>
      <c r="V104" s="42">
        <v>2003007670972</v>
      </c>
      <c r="W104" s="42">
        <v>963765866</v>
      </c>
      <c r="X104" s="42" t="s">
        <v>117</v>
      </c>
      <c r="Y104" s="42" t="s">
        <v>883</v>
      </c>
      <c r="Z104" s="42" t="s">
        <v>446</v>
      </c>
      <c r="AA104" s="42" t="s">
        <v>447</v>
      </c>
      <c r="AB104" s="42" t="s">
        <v>121</v>
      </c>
      <c r="AC104" s="42" t="s">
        <v>211</v>
      </c>
      <c r="AD104" s="42"/>
      <c r="AE104" s="42" t="s">
        <v>148</v>
      </c>
      <c r="AF104" s="42" t="s">
        <v>122</v>
      </c>
      <c r="AG104" s="42">
        <v>1128</v>
      </c>
      <c r="AH104" s="42" t="s">
        <v>448</v>
      </c>
      <c r="AI104" s="42" t="s">
        <v>679</v>
      </c>
      <c r="AJ104" s="42" t="s">
        <v>184</v>
      </c>
      <c r="AK104" s="42" t="s">
        <v>449</v>
      </c>
      <c r="AL104" s="42" t="s">
        <v>121</v>
      </c>
      <c r="AM104" s="42"/>
      <c r="AN104" s="42" t="s">
        <v>122</v>
      </c>
      <c r="AO104" s="42" t="s">
        <v>1037</v>
      </c>
      <c r="AP104" s="42"/>
      <c r="AQ104" s="42" t="s">
        <v>449</v>
      </c>
      <c r="AR104" s="42" t="s">
        <v>114</v>
      </c>
      <c r="AS104" s="42" t="s">
        <v>114</v>
      </c>
      <c r="AT104" s="42">
        <v>0</v>
      </c>
      <c r="AU104" s="42">
        <v>0</v>
      </c>
      <c r="AV104" s="42" t="s">
        <v>1088</v>
      </c>
      <c r="AW104" s="42" t="s">
        <v>1089</v>
      </c>
      <c r="AX104" s="42" t="s">
        <v>211</v>
      </c>
      <c r="AY104" s="42" t="s">
        <v>451</v>
      </c>
      <c r="AZ104" s="42">
        <v>1</v>
      </c>
      <c r="BA104" s="89">
        <v>0</v>
      </c>
      <c r="BB104" s="89">
        <v>0</v>
      </c>
      <c r="BC104" s="89">
        <v>0</v>
      </c>
      <c r="BD104" s="89">
        <v>0</v>
      </c>
      <c r="BE104" s="89">
        <v>0</v>
      </c>
      <c r="BF104" s="89">
        <v>0</v>
      </c>
      <c r="BG104" s="89">
        <v>0</v>
      </c>
      <c r="BH104" s="125">
        <v>0</v>
      </c>
      <c r="BI104" s="89">
        <v>0</v>
      </c>
      <c r="BJ104" s="89">
        <v>0</v>
      </c>
      <c r="BK104" s="89">
        <v>0</v>
      </c>
      <c r="BL104" s="89">
        <v>0</v>
      </c>
      <c r="BM104" s="89">
        <v>0</v>
      </c>
      <c r="BN104" s="89" t="s">
        <v>461</v>
      </c>
      <c r="BO104" s="42" t="s">
        <v>461</v>
      </c>
      <c r="BP104" s="42"/>
      <c r="BQ104" s="42"/>
      <c r="BR104" s="42">
        <v>202606</v>
      </c>
      <c r="BS104" s="42"/>
      <c r="BT104" s="89" t="s">
        <v>451</v>
      </c>
      <c r="BU104" s="44" t="s">
        <v>451</v>
      </c>
      <c r="BV104" s="44" t="s">
        <v>451</v>
      </c>
    </row>
    <row r="105" spans="1:74" ht="14.25" customHeight="1">
      <c r="A105" s="110">
        <v>5961251</v>
      </c>
      <c r="B105" s="110">
        <v>7</v>
      </c>
      <c r="C105" s="110">
        <v>20614992868</v>
      </c>
      <c r="D105" s="110" t="s">
        <v>119</v>
      </c>
      <c r="E105" s="110" t="s">
        <v>436</v>
      </c>
      <c r="F105" s="110" t="s">
        <v>1150</v>
      </c>
      <c r="G105" s="110" t="s">
        <v>1151</v>
      </c>
      <c r="H105" s="110" t="s">
        <v>439</v>
      </c>
      <c r="I105" s="110">
        <v>5085</v>
      </c>
      <c r="J105" s="110" t="s">
        <v>1129</v>
      </c>
      <c r="K105" s="110" t="s">
        <v>1152</v>
      </c>
      <c r="L105" s="110" t="s">
        <v>240</v>
      </c>
      <c r="M105" s="110" t="s">
        <v>240</v>
      </c>
      <c r="N105" s="110" t="s">
        <v>542</v>
      </c>
      <c r="O105" s="110" t="s">
        <v>240</v>
      </c>
      <c r="P105" s="110" t="s">
        <v>457</v>
      </c>
      <c r="Q105" s="110" t="s">
        <v>1153</v>
      </c>
      <c r="R105" s="110">
        <v>20260617</v>
      </c>
      <c r="S105" s="110" t="s">
        <v>116</v>
      </c>
      <c r="T105" s="110" t="s">
        <v>445</v>
      </c>
      <c r="U105" s="110" t="s">
        <v>499</v>
      </c>
      <c r="V105" s="110">
        <v>30512601925004</v>
      </c>
      <c r="W105" s="110">
        <v>990697068</v>
      </c>
      <c r="X105" s="110" t="s">
        <v>117</v>
      </c>
      <c r="Y105" s="110" t="s">
        <v>920</v>
      </c>
      <c r="Z105" s="110" t="s">
        <v>446</v>
      </c>
      <c r="AA105" s="110" t="s">
        <v>447</v>
      </c>
      <c r="AB105" s="110" t="s">
        <v>121</v>
      </c>
      <c r="AC105" s="110" t="s">
        <v>287</v>
      </c>
      <c r="AD105" s="110"/>
      <c r="AE105" s="110" t="s">
        <v>148</v>
      </c>
      <c r="AF105" s="110" t="s">
        <v>240</v>
      </c>
      <c r="AG105" s="110">
        <v>1128</v>
      </c>
      <c r="AH105" s="110" t="s">
        <v>448</v>
      </c>
      <c r="AI105" s="110" t="s">
        <v>679</v>
      </c>
      <c r="AJ105" s="110" t="s">
        <v>184</v>
      </c>
      <c r="AK105" s="110" t="s">
        <v>449</v>
      </c>
      <c r="AL105" s="110" t="s">
        <v>121</v>
      </c>
      <c r="AM105" s="110"/>
      <c r="AN105" s="110" t="s">
        <v>122</v>
      </c>
      <c r="AO105" s="110" t="s">
        <v>995</v>
      </c>
      <c r="AP105" s="110"/>
      <c r="AQ105" s="110" t="s">
        <v>449</v>
      </c>
      <c r="AR105" s="110" t="s">
        <v>114</v>
      </c>
      <c r="AS105" s="110" t="s">
        <v>114</v>
      </c>
      <c r="AT105" s="110">
        <v>0</v>
      </c>
      <c r="AU105" s="110">
        <v>0</v>
      </c>
      <c r="AV105" s="110"/>
      <c r="AW105" s="110"/>
      <c r="AX105" s="110" t="s">
        <v>287</v>
      </c>
      <c r="AY105" s="110" t="s">
        <v>451</v>
      </c>
      <c r="AZ105" s="110">
        <v>1</v>
      </c>
      <c r="BA105" s="90">
        <v>0</v>
      </c>
      <c r="BB105" s="90">
        <v>0</v>
      </c>
      <c r="BC105" s="90">
        <v>0</v>
      </c>
      <c r="BD105" s="90">
        <v>0</v>
      </c>
      <c r="BE105" s="90">
        <v>0</v>
      </c>
      <c r="BF105" s="90">
        <v>0</v>
      </c>
      <c r="BG105" s="90">
        <v>0</v>
      </c>
      <c r="BH105" s="126">
        <v>0</v>
      </c>
      <c r="BI105" s="90">
        <v>0</v>
      </c>
      <c r="BJ105" s="90">
        <v>0</v>
      </c>
      <c r="BK105" s="90">
        <v>0</v>
      </c>
      <c r="BL105" s="90">
        <v>0</v>
      </c>
      <c r="BM105" s="90">
        <v>0</v>
      </c>
      <c r="BN105" s="90"/>
      <c r="BO105" s="110"/>
      <c r="BP105" s="110"/>
      <c r="BQ105" s="110"/>
      <c r="BR105" s="110">
        <v>202606</v>
      </c>
      <c r="BS105" s="110"/>
      <c r="BT105" s="90" t="s">
        <v>451</v>
      </c>
      <c r="BU105" s="108" t="s">
        <v>451</v>
      </c>
      <c r="BV105" s="108" t="s">
        <v>451</v>
      </c>
    </row>
    <row r="106" spans="1:74" ht="14.25" customHeight="1">
      <c r="A106" s="42">
        <v>5960719</v>
      </c>
      <c r="B106" s="42">
        <v>7</v>
      </c>
      <c r="C106" s="42">
        <v>20535913294</v>
      </c>
      <c r="D106" s="42" t="s">
        <v>645</v>
      </c>
      <c r="E106" s="42" t="s">
        <v>436</v>
      </c>
      <c r="F106" s="42" t="s">
        <v>1084</v>
      </c>
      <c r="G106" s="42" t="s">
        <v>881</v>
      </c>
      <c r="H106" s="42" t="s">
        <v>439</v>
      </c>
      <c r="I106" s="42">
        <v>5511</v>
      </c>
      <c r="J106" s="42" t="s">
        <v>1085</v>
      </c>
      <c r="K106" s="42" t="s">
        <v>1086</v>
      </c>
      <c r="L106" s="42" t="s">
        <v>1013</v>
      </c>
      <c r="M106" s="42" t="s">
        <v>122</v>
      </c>
      <c r="N106" s="42" t="s">
        <v>122</v>
      </c>
      <c r="O106" s="42" t="s">
        <v>443</v>
      </c>
      <c r="P106" s="42" t="s">
        <v>122</v>
      </c>
      <c r="Q106" s="42" t="s">
        <v>1087</v>
      </c>
      <c r="R106" s="42">
        <v>20260616</v>
      </c>
      <c r="S106" s="42" t="s">
        <v>116</v>
      </c>
      <c r="T106" s="42" t="s">
        <v>445</v>
      </c>
      <c r="U106" s="42" t="s">
        <v>120</v>
      </c>
      <c r="V106" s="42">
        <v>2003007670972</v>
      </c>
      <c r="W106" s="42">
        <v>963765866</v>
      </c>
      <c r="X106" s="42" t="s">
        <v>117</v>
      </c>
      <c r="Y106" s="42" t="s">
        <v>880</v>
      </c>
      <c r="Z106" s="42" t="s">
        <v>446</v>
      </c>
      <c r="AA106" s="42" t="s">
        <v>447</v>
      </c>
      <c r="AB106" s="42" t="s">
        <v>121</v>
      </c>
      <c r="AC106" s="42" t="s">
        <v>211</v>
      </c>
      <c r="AD106" s="42"/>
      <c r="AE106" s="42" t="s">
        <v>148</v>
      </c>
      <c r="AF106" s="42" t="s">
        <v>122</v>
      </c>
      <c r="AG106" s="42">
        <v>1128</v>
      </c>
      <c r="AH106" s="42" t="s">
        <v>448</v>
      </c>
      <c r="AI106" s="42" t="s">
        <v>679</v>
      </c>
      <c r="AJ106" s="42" t="s">
        <v>184</v>
      </c>
      <c r="AK106" s="42" t="s">
        <v>449</v>
      </c>
      <c r="AL106" s="42" t="s">
        <v>121</v>
      </c>
      <c r="AM106" s="42"/>
      <c r="AN106" s="42" t="s">
        <v>122</v>
      </c>
      <c r="AO106" s="42" t="s">
        <v>1037</v>
      </c>
      <c r="AP106" s="42"/>
      <c r="AQ106" s="42" t="s">
        <v>449</v>
      </c>
      <c r="AR106" s="42" t="s">
        <v>114</v>
      </c>
      <c r="AS106" s="42" t="s">
        <v>114</v>
      </c>
      <c r="AT106" s="42">
        <v>0</v>
      </c>
      <c r="AU106" s="42">
        <v>0</v>
      </c>
      <c r="AV106" s="42" t="s">
        <v>1088</v>
      </c>
      <c r="AW106" s="42" t="s">
        <v>1089</v>
      </c>
      <c r="AX106" s="42" t="s">
        <v>211</v>
      </c>
      <c r="AY106" s="42" t="s">
        <v>451</v>
      </c>
      <c r="AZ106" s="42">
        <v>1</v>
      </c>
      <c r="BA106" s="89">
        <v>0</v>
      </c>
      <c r="BB106" s="89">
        <v>0</v>
      </c>
      <c r="BC106" s="89">
        <v>0</v>
      </c>
      <c r="BD106" s="89">
        <v>0</v>
      </c>
      <c r="BE106" s="89">
        <v>0</v>
      </c>
      <c r="BF106" s="89">
        <v>0</v>
      </c>
      <c r="BG106" s="89">
        <v>0</v>
      </c>
      <c r="BH106" s="125">
        <v>0</v>
      </c>
      <c r="BI106" s="89">
        <v>0</v>
      </c>
      <c r="BJ106" s="89">
        <v>0</v>
      </c>
      <c r="BK106" s="89">
        <v>0</v>
      </c>
      <c r="BL106" s="89">
        <v>0</v>
      </c>
      <c r="BM106" s="89">
        <v>0</v>
      </c>
      <c r="BN106" s="89" t="s">
        <v>461</v>
      </c>
      <c r="BO106" s="42" t="s">
        <v>461</v>
      </c>
      <c r="BP106" s="42"/>
      <c r="BQ106" s="42"/>
      <c r="BR106" s="42">
        <v>202606</v>
      </c>
      <c r="BS106" s="42"/>
      <c r="BT106" s="89" t="s">
        <v>451</v>
      </c>
      <c r="BU106" s="44" t="s">
        <v>451</v>
      </c>
      <c r="BV106" s="44" t="s">
        <v>451</v>
      </c>
    </row>
    <row r="107" spans="1:74" ht="14.25" customHeight="1">
      <c r="A107" s="42">
        <v>5961137</v>
      </c>
      <c r="B107" s="42">
        <v>7</v>
      </c>
      <c r="C107" s="42">
        <v>10450078323</v>
      </c>
      <c r="D107" s="42" t="s">
        <v>119</v>
      </c>
      <c r="E107" s="42" t="s">
        <v>436</v>
      </c>
      <c r="F107" s="42" t="s">
        <v>1154</v>
      </c>
      <c r="G107" s="42" t="s">
        <v>1155</v>
      </c>
      <c r="H107" s="42" t="s">
        <v>439</v>
      </c>
      <c r="I107" s="42">
        <v>5039</v>
      </c>
      <c r="J107" s="42" t="s">
        <v>1017</v>
      </c>
      <c r="K107" s="42" t="s">
        <v>1156</v>
      </c>
      <c r="L107" s="42" t="s">
        <v>1157</v>
      </c>
      <c r="M107" s="42" t="s">
        <v>292</v>
      </c>
      <c r="N107" s="42" t="s">
        <v>527</v>
      </c>
      <c r="O107" s="42" t="s">
        <v>292</v>
      </c>
      <c r="P107" s="42" t="s">
        <v>457</v>
      </c>
      <c r="Q107" s="42" t="s">
        <v>1158</v>
      </c>
      <c r="R107" s="42">
        <v>20260617</v>
      </c>
      <c r="S107" s="42" t="s">
        <v>116</v>
      </c>
      <c r="T107" s="42" t="s">
        <v>474</v>
      </c>
      <c r="U107" s="42" t="s">
        <v>120</v>
      </c>
      <c r="V107" s="42">
        <v>8983292885883</v>
      </c>
      <c r="W107" s="42">
        <v>992931718</v>
      </c>
      <c r="X107" s="42" t="s">
        <v>117</v>
      </c>
      <c r="Y107" s="42" t="s">
        <v>917</v>
      </c>
      <c r="Z107" s="42" t="s">
        <v>476</v>
      </c>
      <c r="AA107" s="42" t="s">
        <v>447</v>
      </c>
      <c r="AB107" s="42" t="s">
        <v>121</v>
      </c>
      <c r="AC107" s="42" t="s">
        <v>118</v>
      </c>
      <c r="AD107" s="42"/>
      <c r="AE107" s="42" t="s">
        <v>148</v>
      </c>
      <c r="AF107" s="42" t="s">
        <v>292</v>
      </c>
      <c r="AG107" s="42">
        <v>1128</v>
      </c>
      <c r="AH107" s="42" t="s">
        <v>448</v>
      </c>
      <c r="AI107" s="42" t="s">
        <v>679</v>
      </c>
      <c r="AJ107" s="42" t="s">
        <v>184</v>
      </c>
      <c r="AK107" s="42" t="s">
        <v>449</v>
      </c>
      <c r="AL107" s="42" t="s">
        <v>121</v>
      </c>
      <c r="AM107" s="42"/>
      <c r="AN107" s="42" t="s">
        <v>122</v>
      </c>
      <c r="AO107" s="42" t="s">
        <v>123</v>
      </c>
      <c r="AP107" s="42"/>
      <c r="AQ107" s="42" t="s">
        <v>449</v>
      </c>
      <c r="AR107" s="42" t="s">
        <v>114</v>
      </c>
      <c r="AS107" s="42" t="s">
        <v>114</v>
      </c>
      <c r="AT107" s="42">
        <v>0</v>
      </c>
      <c r="AU107" s="42">
        <v>0</v>
      </c>
      <c r="AV107" s="42"/>
      <c r="AW107" s="42"/>
      <c r="AX107" s="42" t="s">
        <v>118</v>
      </c>
      <c r="AY107" s="42" t="s">
        <v>451</v>
      </c>
      <c r="AZ107" s="42">
        <v>1</v>
      </c>
      <c r="BA107" s="89">
        <v>0</v>
      </c>
      <c r="BB107" s="89">
        <v>0</v>
      </c>
      <c r="BC107" s="89">
        <v>0</v>
      </c>
      <c r="BD107" s="89">
        <v>0</v>
      </c>
      <c r="BE107" s="89">
        <v>0</v>
      </c>
      <c r="BF107" s="89">
        <v>0</v>
      </c>
      <c r="BG107" s="89">
        <v>0</v>
      </c>
      <c r="BH107" s="125">
        <v>0</v>
      </c>
      <c r="BI107" s="89">
        <v>0</v>
      </c>
      <c r="BJ107" s="89">
        <v>0</v>
      </c>
      <c r="BK107" s="89">
        <v>0</v>
      </c>
      <c r="BL107" s="89">
        <v>0</v>
      </c>
      <c r="BM107" s="89">
        <v>0</v>
      </c>
      <c r="BN107" s="89"/>
      <c r="BO107" s="42"/>
      <c r="BP107" s="42"/>
      <c r="BQ107" s="42"/>
      <c r="BR107" s="42">
        <v>202606</v>
      </c>
      <c r="BS107" s="42"/>
      <c r="BT107" s="89" t="s">
        <v>451</v>
      </c>
      <c r="BU107" s="44" t="s">
        <v>451</v>
      </c>
      <c r="BV107" s="44" t="s">
        <v>451</v>
      </c>
    </row>
  </sheetData>
  <phoneticPr fontId="6" type="noConversion"/>
  <conditionalFormatting sqref="A2">
    <cfRule type="duplicateValues" dxfId="440" priority="2"/>
  </conditionalFormatting>
  <conditionalFormatting sqref="B2">
    <cfRule type="duplicateValues" dxfId="439" priority="3"/>
  </conditionalFormatting>
  <conditionalFormatting sqref="E2">
    <cfRule type="duplicateValues" dxfId="438" priority="4"/>
  </conditionalFormatting>
  <conditionalFormatting sqref="H2:I2">
    <cfRule type="duplicateValues" dxfId="437" priority="5"/>
  </conditionalFormatting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667D-FA79-4169-B080-7D1F9EFED902}">
  <sheetPr codeName="Hoja7"/>
  <dimension ref="A1:F63"/>
  <sheetViews>
    <sheetView showGridLines="0" zoomScaleNormal="100" workbookViewId="0">
      <selection activeCell="F15" sqref="A15:F15"/>
    </sheetView>
  </sheetViews>
  <sheetFormatPr baseColWidth="10" defaultColWidth="15.7109375" defaultRowHeight="14.25" customHeight="1" outlineLevelCol="1"/>
  <cols>
    <col min="1" max="1" width="15.7109375" style="14" outlineLevel="1"/>
    <col min="2" max="16384" width="15.7109375" style="14"/>
  </cols>
  <sheetData>
    <row r="1" ht="30" customHeight="1"/>
    <row r="50" spans="2:6" ht="14.25" customHeight="1">
      <c r="B50" s="67" t="s">
        <v>575</v>
      </c>
    </row>
    <row r="51" spans="2:6" ht="14.25" customHeight="1">
      <c r="C51" s="68" t="s">
        <v>131</v>
      </c>
      <c r="D51" s="68" t="s">
        <v>574</v>
      </c>
      <c r="E51" s="68" t="s">
        <v>141</v>
      </c>
      <c r="F51" s="68" t="s">
        <v>576</v>
      </c>
    </row>
    <row r="52" spans="2:6" ht="14.25" customHeight="1">
      <c r="C52" s="31" t="s">
        <v>154</v>
      </c>
      <c r="D52" s="31">
        <v>2</v>
      </c>
      <c r="E52" s="31">
        <v>100000</v>
      </c>
      <c r="F52" s="31">
        <v>100000</v>
      </c>
    </row>
    <row r="53" spans="2:6" ht="14.25" customHeight="1">
      <c r="C53" s="31" t="s">
        <v>152</v>
      </c>
      <c r="D53" s="31">
        <v>2</v>
      </c>
      <c r="E53" s="31">
        <v>150000</v>
      </c>
      <c r="F53" s="31">
        <v>150000</v>
      </c>
    </row>
    <row r="54" spans="2:6" ht="14.25" customHeight="1">
      <c r="C54" s="31" t="s">
        <v>170</v>
      </c>
      <c r="D54" s="31">
        <v>2</v>
      </c>
      <c r="E54" s="31">
        <v>300000</v>
      </c>
      <c r="F54" s="31">
        <v>300000</v>
      </c>
    </row>
    <row r="57" spans="2:6" ht="14.25" customHeight="1">
      <c r="B57" s="67" t="s">
        <v>573</v>
      </c>
    </row>
    <row r="58" spans="2:6" ht="14.25" customHeight="1">
      <c r="C58" s="68" t="s">
        <v>21</v>
      </c>
      <c r="D58" s="68" t="s">
        <v>574</v>
      </c>
      <c r="E58" s="68" t="s">
        <v>141</v>
      </c>
    </row>
    <row r="59" spans="2:6" ht="14.25" customHeight="1">
      <c r="C59" s="31" t="s">
        <v>35</v>
      </c>
      <c r="D59" s="31">
        <v>2</v>
      </c>
      <c r="E59" s="31">
        <v>1500000</v>
      </c>
    </row>
    <row r="60" spans="2:6" ht="14.25" customHeight="1">
      <c r="C60" s="31" t="s">
        <v>48</v>
      </c>
      <c r="D60" s="31">
        <v>2</v>
      </c>
      <c r="E60" s="31">
        <v>1000000</v>
      </c>
    </row>
    <row r="61" spans="2:6" ht="14.25" customHeight="1">
      <c r="C61" s="31" t="s">
        <v>64</v>
      </c>
      <c r="D61" s="31">
        <v>2</v>
      </c>
      <c r="E61" s="31">
        <v>1000000</v>
      </c>
    </row>
    <row r="62" spans="2:6" ht="14.25" customHeight="1">
      <c r="C62" s="31" t="s">
        <v>98</v>
      </c>
      <c r="D62" s="31">
        <v>2</v>
      </c>
      <c r="E62" s="31">
        <v>1000000</v>
      </c>
    </row>
    <row r="63" spans="2:6" ht="14.25" customHeight="1">
      <c r="C63" s="31" t="s">
        <v>42</v>
      </c>
      <c r="D63" s="31">
        <v>2</v>
      </c>
      <c r="E63" s="31">
        <v>1000000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2B9E3-A33E-48FA-81B3-14A182CB4064}">
  <sheetPr codeName="Hoja8"/>
  <dimension ref="A1:U76"/>
  <sheetViews>
    <sheetView showGridLines="0" topLeftCell="B1" zoomScale="85" zoomScaleNormal="85" workbookViewId="0">
      <pane ySplit="1" topLeftCell="A53" activePane="bottomLeft" state="frozen"/>
      <selection activeCell="T3" sqref="T3"/>
      <selection pane="bottomLeft" activeCell="D43" sqref="D43:D46"/>
    </sheetView>
  </sheetViews>
  <sheetFormatPr baseColWidth="10" defaultColWidth="11.5703125" defaultRowHeight="14.25" customHeight="1" outlineLevelCol="1"/>
  <cols>
    <col min="1" max="1" width="15.7109375" style="14" hidden="1" customWidth="1" outlineLevel="1"/>
    <col min="2" max="2" width="15.7109375" style="14" customWidth="1" collapsed="1"/>
    <col min="3" max="3" width="15.7109375" style="14" customWidth="1"/>
    <col min="4" max="5" width="20.7109375" style="14" customWidth="1"/>
    <col min="6" max="6" width="17.5703125" style="14" customWidth="1"/>
    <col min="7" max="7" width="40.7109375" style="14" customWidth="1"/>
    <col min="8" max="9" width="17.5703125" style="14" customWidth="1"/>
    <col min="10" max="10" width="40.7109375" style="14" customWidth="1"/>
    <col min="11" max="15" width="15.7109375" style="14" customWidth="1"/>
    <col min="16" max="19" width="15.85546875" style="14" customWidth="1" outlineLevel="1"/>
    <col min="20" max="21" width="15.85546875" style="14" customWidth="1"/>
    <col min="22" max="16384" width="11.5703125" style="14"/>
  </cols>
  <sheetData>
    <row r="1" spans="1:21" ht="20.25" customHeight="1">
      <c r="A1" s="15" t="s">
        <v>28</v>
      </c>
      <c r="B1" s="15" t="s">
        <v>1</v>
      </c>
      <c r="C1" s="15" t="s">
        <v>130</v>
      </c>
      <c r="D1" s="16" t="s">
        <v>16</v>
      </c>
      <c r="E1" s="16" t="s">
        <v>21</v>
      </c>
      <c r="F1" s="16" t="s">
        <v>131</v>
      </c>
      <c r="G1" s="16" t="s">
        <v>132</v>
      </c>
      <c r="H1" s="16" t="s">
        <v>133</v>
      </c>
      <c r="I1" s="17" t="s">
        <v>134</v>
      </c>
      <c r="J1" s="17" t="s">
        <v>135</v>
      </c>
      <c r="K1" s="17" t="s">
        <v>136</v>
      </c>
      <c r="L1" s="17" t="s">
        <v>137</v>
      </c>
      <c r="M1" s="17" t="s">
        <v>547</v>
      </c>
      <c r="N1" s="49" t="s">
        <v>548</v>
      </c>
      <c r="O1" s="21" t="s">
        <v>22</v>
      </c>
      <c r="P1" s="18" t="s">
        <v>9</v>
      </c>
      <c r="Q1" s="19" t="s">
        <v>138</v>
      </c>
      <c r="R1" s="19" t="s">
        <v>858</v>
      </c>
      <c r="S1" s="19" t="s">
        <v>139</v>
      </c>
      <c r="T1" s="19" t="s">
        <v>140</v>
      </c>
      <c r="U1" s="20" t="s">
        <v>141</v>
      </c>
    </row>
    <row r="2" spans="1:21" ht="14.25" customHeight="1">
      <c r="A2" s="45" t="str">
        <f>CONCATENATE(Productividad.[[#This Row],[DNI]],Productividad.[[#This Row],[Periodo]])</f>
        <v>4171897546143</v>
      </c>
      <c r="B2" s="48">
        <v>46143</v>
      </c>
      <c r="C2" s="22" t="s">
        <v>144</v>
      </c>
      <c r="D2" s="23" t="s">
        <v>35</v>
      </c>
      <c r="E2" s="24" t="s">
        <v>35</v>
      </c>
      <c r="F2" s="24" t="s">
        <v>21</v>
      </c>
      <c r="G2" s="24" t="s">
        <v>145</v>
      </c>
      <c r="H2" s="24" t="s">
        <v>21</v>
      </c>
      <c r="I2" s="25">
        <v>46143</v>
      </c>
      <c r="J2" s="24" t="s">
        <v>146</v>
      </c>
      <c r="K2" s="24">
        <v>941341890</v>
      </c>
      <c r="L2" s="24" t="s">
        <v>122</v>
      </c>
      <c r="M2" s="72" t="str">
        <f>Productividad.[[#This Row],[Ejecutivo]]</f>
        <v>Carlos Palomino</v>
      </c>
      <c r="N2" s="72" t="str">
        <f>Productividad.[[#This Row],[DNI]]</f>
        <v>41718975</v>
      </c>
      <c r="O2" s="73" t="str" cm="1">
        <f t="array" ref="O2">IFERROR(_xlfn.IFS(Productividad.[[#This Row],[Supervisor]]="Jonathan Lapoint","Norte",Productividad.[[#This Row],[Supervisor]]="Jorge Fuentes","Norte"),"Lima")</f>
        <v>Lima</v>
      </c>
      <c r="P2" s="45" t="str">
        <f>IFERROR(VLOOKUP(Productividad.[[#This Row],[DNI]],Ejecutivos.[],12,0),"Cesado")</f>
        <v>Activo</v>
      </c>
      <c r="Q2" s="73" t="str">
        <f>IFERROR(VLOOKUP(Productividad.[[#This Row],[DNI]],Ejecutivos.[],13,0),"Cesado")</f>
        <v>SUPERVISOR</v>
      </c>
      <c r="R2" s="73" t="str">
        <f>IFERROR(VLOOKUP(Productividad.[[#This Row],[DNI]],Ejecutivos.[],14,0),"Cesado")</f>
        <v>TR12951</v>
      </c>
      <c r="S2" s="73" t="str">
        <f>IFERROR(VLOOKUP(Productividad.[[#This Row],[DNI]],Ejecutivos.[],15,0),"Cesado")</f>
        <v>SUPERVISOR</v>
      </c>
      <c r="T2" s="74"/>
      <c r="U2" s="74"/>
    </row>
    <row r="3" spans="1:21" ht="14.25" customHeight="1">
      <c r="A3" s="45" t="str">
        <f>CONCATENATE(Productividad.[[#This Row],[DNI]],Productividad.[[#This Row],[Periodo]])</f>
        <v>4141965146143</v>
      </c>
      <c r="B3" s="47">
        <v>46143</v>
      </c>
      <c r="C3" s="27" t="s">
        <v>150</v>
      </c>
      <c r="D3" s="28" t="s">
        <v>151</v>
      </c>
      <c r="E3" s="29" t="s">
        <v>35</v>
      </c>
      <c r="F3" s="29" t="s">
        <v>152</v>
      </c>
      <c r="G3" s="29" t="s">
        <v>153</v>
      </c>
      <c r="H3" s="29" t="s">
        <v>154</v>
      </c>
      <c r="I3" s="30">
        <v>46143</v>
      </c>
      <c r="J3" s="29" t="s">
        <v>155</v>
      </c>
      <c r="K3" s="29">
        <v>981463333</v>
      </c>
      <c r="L3" s="29" t="s">
        <v>122</v>
      </c>
      <c r="M3" s="72" t="str">
        <f>Productividad.[[#This Row],[Ejecutivo]]</f>
        <v>Giuliana Hereña</v>
      </c>
      <c r="N3" s="72" t="str">
        <f>Productividad.[[#This Row],[DNI]]</f>
        <v>41419651</v>
      </c>
      <c r="O3" s="73" t="str" cm="1">
        <f t="array" ref="O3">IFERROR(_xlfn.IFS(Productividad.[[#This Row],[Supervisor]]="Jonathan Lapoint","Norte",Productividad.[[#This Row],[Supervisor]]="Jorge Fuentes","Norte"),"Lima")</f>
        <v>Lima</v>
      </c>
      <c r="P3" s="45" t="str">
        <f>IFERROR(VLOOKUP(Productividad.[[#This Row],[DNI]],Ejecutivos.[],12,0),"Cesado")</f>
        <v>Cesado</v>
      </c>
      <c r="Q3" s="73" t="str">
        <f>IFERROR(VLOOKUP(Productividad.[[#This Row],[DNI]],Ejecutivos.[],13,0),"Cesado")</f>
        <v>ND0011</v>
      </c>
      <c r="R3" s="73" t="str">
        <f>IFERROR(VLOOKUP(Productividad.[[#This Row],[DNI]],Ejecutivos.[],14,0),"Cesado")</f>
        <v>CESADO</v>
      </c>
      <c r="S3" s="73" t="str">
        <f>IFERROR(VLOOKUP(Productividad.[[#This Row],[DNI]],Ejecutivos.[],15,0),"Cesado")</f>
        <v>PN0621BP40668</v>
      </c>
      <c r="T3" s="74"/>
      <c r="U3" s="74"/>
    </row>
    <row r="4" spans="1:21" ht="14.25" customHeight="1">
      <c r="A4" s="45" t="str">
        <f>CONCATENATE(Productividad.[[#This Row],[DNI]],Productividad.[[#This Row],[Periodo]])</f>
        <v>7652400646143</v>
      </c>
      <c r="B4" s="47">
        <v>46143</v>
      </c>
      <c r="C4" s="27" t="s">
        <v>158</v>
      </c>
      <c r="D4" s="28" t="s">
        <v>159</v>
      </c>
      <c r="E4" s="29" t="s">
        <v>35</v>
      </c>
      <c r="F4" s="29" t="s">
        <v>152</v>
      </c>
      <c r="G4" s="29" t="s">
        <v>160</v>
      </c>
      <c r="H4" s="29" t="s">
        <v>154</v>
      </c>
      <c r="I4" s="30">
        <v>46143</v>
      </c>
      <c r="J4" s="29" t="s">
        <v>161</v>
      </c>
      <c r="K4" s="29">
        <v>927150861</v>
      </c>
      <c r="L4" s="29" t="s">
        <v>122</v>
      </c>
      <c r="M4" s="72" t="str">
        <f>Productividad.[[#This Row],[Ejecutivo]]</f>
        <v>Jorge Jaimes</v>
      </c>
      <c r="N4" s="72" t="str">
        <f>Productividad.[[#This Row],[DNI]]</f>
        <v>76524006</v>
      </c>
      <c r="O4" s="73" t="str" cm="1">
        <f t="array" ref="O4">IFERROR(_xlfn.IFS(Productividad.[[#This Row],[Supervisor]]="Jonathan Lapoint","Norte",Productividad.[[#This Row],[Supervisor]]="Jorge Fuentes","Norte"),"Lima")</f>
        <v>Lima</v>
      </c>
      <c r="P4" s="45" t="str">
        <f>IFERROR(VLOOKUP(Productividad.[[#This Row],[DNI]],Ejecutivos.[],12,0),"Cesado")</f>
        <v>Activo</v>
      </c>
      <c r="Q4" s="73" t="str">
        <f>IFERROR(VLOOKUP(Productividad.[[#This Row],[DNI]],Ejecutivos.[],13,0),"Cesado")</f>
        <v>ND0019</v>
      </c>
      <c r="R4" s="73" t="str">
        <f>IFERROR(VLOOKUP(Productividad.[[#This Row],[DNI]],Ejecutivos.[],14,0),"Cesado")</f>
        <v>TR12972</v>
      </c>
      <c r="S4" s="73" t="str">
        <f>IFERROR(VLOOKUP(Productividad.[[#This Row],[DNI]],Ejecutivos.[],15,0),"Cesado")</f>
        <v>PN80238F30250</v>
      </c>
      <c r="T4" s="74"/>
      <c r="U4" s="74"/>
    </row>
    <row r="5" spans="1:21" ht="14.25" customHeight="1">
      <c r="A5" s="45" t="str">
        <f>CONCATENATE(Productividad.[[#This Row],[DNI]],Productividad.[[#This Row],[Periodo]])</f>
        <v>7289576246143</v>
      </c>
      <c r="B5" s="47">
        <v>46143</v>
      </c>
      <c r="C5" s="27" t="s">
        <v>164</v>
      </c>
      <c r="D5" s="28" t="s">
        <v>103</v>
      </c>
      <c r="E5" s="29" t="s">
        <v>35</v>
      </c>
      <c r="F5" s="29" t="s">
        <v>152</v>
      </c>
      <c r="G5" s="29" t="s">
        <v>104</v>
      </c>
      <c r="H5" s="29" t="s">
        <v>154</v>
      </c>
      <c r="I5" s="30">
        <v>46143</v>
      </c>
      <c r="J5" s="29" t="s">
        <v>165</v>
      </c>
      <c r="K5" s="29">
        <v>927254247</v>
      </c>
      <c r="L5" s="29" t="s">
        <v>122</v>
      </c>
      <c r="M5" s="72" t="str">
        <f>Productividad.[[#This Row],[Ejecutivo]]</f>
        <v>Leonardo Torres</v>
      </c>
      <c r="N5" s="72" t="str">
        <f>Productividad.[[#This Row],[DNI]]</f>
        <v>72895762</v>
      </c>
      <c r="O5" s="73" t="str" cm="1">
        <f t="array" ref="O5">IFERROR(_xlfn.IFS(Productividad.[[#This Row],[Supervisor]]="Jonathan Lapoint","Norte",Productividad.[[#This Row],[Supervisor]]="Jorge Fuentes","Norte"),"Lima")</f>
        <v>Lima</v>
      </c>
      <c r="P5" s="45" t="str">
        <f>IFERROR(VLOOKUP(Productividad.[[#This Row],[DNI]],Ejecutivos.[],12,0),"Cesado")</f>
        <v>Cesado</v>
      </c>
      <c r="Q5" s="73" t="str">
        <f>IFERROR(VLOOKUP(Productividad.[[#This Row],[DNI]],Ejecutivos.[],13,0),"Cesado")</f>
        <v>ND0001</v>
      </c>
      <c r="R5" s="73" t="str">
        <f>IFERROR(VLOOKUP(Productividad.[[#This Row],[DNI]],Ejecutivos.[],14,0),"Cesado")</f>
        <v>CESADO</v>
      </c>
      <c r="S5" s="73" t="str">
        <f>IFERROR(VLOOKUP(Productividad.[[#This Row],[DNI]],Ejecutivos.[],15,0),"Cesado")</f>
        <v>PN0421BJ41076</v>
      </c>
      <c r="T5" s="74"/>
      <c r="U5" s="74"/>
    </row>
    <row r="6" spans="1:21" ht="14.25" customHeight="1">
      <c r="A6" s="45" t="str">
        <f>CONCATENATE(Productividad.[[#This Row],[DNI]],Productividad.[[#This Row],[Periodo]])</f>
        <v>4699825046143</v>
      </c>
      <c r="B6" s="47">
        <v>46143</v>
      </c>
      <c r="C6" s="27" t="s">
        <v>173</v>
      </c>
      <c r="D6" s="28" t="s">
        <v>80</v>
      </c>
      <c r="E6" s="29" t="s">
        <v>35</v>
      </c>
      <c r="F6" s="29" t="s">
        <v>170</v>
      </c>
      <c r="G6" s="29" t="s">
        <v>81</v>
      </c>
      <c r="H6" s="29" t="s">
        <v>154</v>
      </c>
      <c r="I6" s="30">
        <v>46143</v>
      </c>
      <c r="J6" s="29" t="s">
        <v>174</v>
      </c>
      <c r="K6" s="29">
        <v>972726333</v>
      </c>
      <c r="L6" s="29" t="s">
        <v>122</v>
      </c>
      <c r="M6" s="72" t="str">
        <f>Productividad.[[#This Row],[Ejecutivo]]</f>
        <v>Maria Godoy</v>
      </c>
      <c r="N6" s="72" t="str">
        <f>Productividad.[[#This Row],[DNI]]</f>
        <v>46998250</v>
      </c>
      <c r="O6" s="73" t="str" cm="1">
        <f t="array" ref="O6">IFERROR(_xlfn.IFS(Productividad.[[#This Row],[Supervisor]]="Jonathan Lapoint","Norte",Productividad.[[#This Row],[Supervisor]]="Jorge Fuentes","Norte"),"Lima")</f>
        <v>Lima</v>
      </c>
      <c r="P6" s="45" t="str">
        <f>IFERROR(VLOOKUP(Productividad.[[#This Row],[DNI]],Ejecutivos.[],12,0),"Cesado")</f>
        <v>Activo</v>
      </c>
      <c r="Q6" s="73" t="str">
        <f>IFERROR(VLOOKUP(Productividad.[[#This Row],[DNI]],Ejecutivos.[],13,0),"Cesado")</f>
        <v>ND0002</v>
      </c>
      <c r="R6" s="73" t="str">
        <f>IFERROR(VLOOKUP(Productividad.[[#This Row],[DNI]],Ejecutivos.[],14,0),"Cesado")</f>
        <v>TR12969</v>
      </c>
      <c r="S6" s="73" t="str">
        <f>IFERROR(VLOOKUP(Productividad.[[#This Row],[DNI]],Ejecutivos.[],15,0),"Cesado")</f>
        <v>PN06214M20767</v>
      </c>
      <c r="T6" s="74"/>
      <c r="U6" s="74"/>
    </row>
    <row r="7" spans="1:21" ht="14.25" customHeight="1">
      <c r="A7" s="45" t="str">
        <f>CONCATENATE(Productividad.[[#This Row],[DNI]],Productividad.[[#This Row],[Periodo]])</f>
        <v>4366139146143</v>
      </c>
      <c r="B7" s="47">
        <v>46143</v>
      </c>
      <c r="C7" s="27" t="s">
        <v>177</v>
      </c>
      <c r="D7" s="28" t="s">
        <v>34</v>
      </c>
      <c r="E7" s="29" t="s">
        <v>35</v>
      </c>
      <c r="F7" s="29" t="s">
        <v>170</v>
      </c>
      <c r="G7" s="29" t="s">
        <v>36</v>
      </c>
      <c r="H7" s="29" t="s">
        <v>154</v>
      </c>
      <c r="I7" s="30">
        <v>46143</v>
      </c>
      <c r="J7" s="29" t="s">
        <v>178</v>
      </c>
      <c r="K7" s="29">
        <v>907494902</v>
      </c>
      <c r="L7" s="29" t="s">
        <v>122</v>
      </c>
      <c r="M7" s="72" t="str">
        <f>Productividad.[[#This Row],[Ejecutivo]]</f>
        <v>Milagros Rocha</v>
      </c>
      <c r="N7" s="72" t="str">
        <f>Productividad.[[#This Row],[DNI]]</f>
        <v>43661391</v>
      </c>
      <c r="O7" s="73" t="str" cm="1">
        <f t="array" ref="O7">IFERROR(_xlfn.IFS(Productividad.[[#This Row],[Supervisor]]="Jonathan Lapoint","Norte",Productividad.[[#This Row],[Supervisor]]="Jorge Fuentes","Norte"),"Lima")</f>
        <v>Lima</v>
      </c>
      <c r="P7" s="45" t="str">
        <f>IFERROR(VLOOKUP(Productividad.[[#This Row],[DNI]],Ejecutivos.[],12,0),"Cesado")</f>
        <v>Activo</v>
      </c>
      <c r="Q7" s="73" t="str">
        <f>IFERROR(VLOOKUP(Productividad.[[#This Row],[DNI]],Ejecutivos.[],13,0),"Cesado")</f>
        <v>ND0003</v>
      </c>
      <c r="R7" s="73" t="str">
        <f>IFERROR(VLOOKUP(Productividad.[[#This Row],[DNI]],Ejecutivos.[],14,0),"Cesado")</f>
        <v>TR12971</v>
      </c>
      <c r="S7" s="73" t="str">
        <f>IFERROR(VLOOKUP(Productividad.[[#This Row],[DNI]],Ejecutivos.[],15,0),"Cesado")</f>
        <v>PN14225941954</v>
      </c>
      <c r="T7" s="74"/>
      <c r="U7" s="74"/>
    </row>
    <row r="8" spans="1:21" ht="14.25" customHeight="1">
      <c r="A8" s="45" t="str">
        <f>CONCATENATE(Productividad.[[#This Row],[DNI]],Productividad.[[#This Row],[Periodo]])</f>
        <v>0869454146143</v>
      </c>
      <c r="B8" s="47">
        <v>46143</v>
      </c>
      <c r="C8" s="27" t="s">
        <v>181</v>
      </c>
      <c r="D8" s="28" t="s">
        <v>182</v>
      </c>
      <c r="E8" s="29" t="s">
        <v>35</v>
      </c>
      <c r="F8" s="29" t="s">
        <v>152</v>
      </c>
      <c r="G8" s="29" t="s">
        <v>183</v>
      </c>
      <c r="H8" s="29" t="s">
        <v>184</v>
      </c>
      <c r="I8" s="30">
        <v>46143</v>
      </c>
      <c r="J8" s="29" t="s">
        <v>185</v>
      </c>
      <c r="K8" s="29">
        <v>937734210</v>
      </c>
      <c r="L8" s="29" t="s">
        <v>122</v>
      </c>
      <c r="M8" s="72" t="str">
        <f>Productividad.[[#This Row],[Ejecutivo]]</f>
        <v>Rildo Mendoza</v>
      </c>
      <c r="N8" s="72" t="str">
        <f>Productividad.[[#This Row],[DNI]]</f>
        <v>08694541</v>
      </c>
      <c r="O8" s="73" t="str" cm="1">
        <f t="array" ref="O8">IFERROR(_xlfn.IFS(Productividad.[[#This Row],[Supervisor]]="Jonathan Lapoint","Norte",Productividad.[[#This Row],[Supervisor]]="Jorge Fuentes","Norte"),"Lima")</f>
        <v>Lima</v>
      </c>
      <c r="P8" s="45" t="str">
        <f>IFERROR(VLOOKUP(Productividad.[[#This Row],[DNI]],Ejecutivos.[],12,0),"Cesado")</f>
        <v>Cesado</v>
      </c>
      <c r="Q8" s="73" t="str">
        <f>IFERROR(VLOOKUP(Productividad.[[#This Row],[DNI]],Ejecutivos.[],13,0),"Cesado")</f>
        <v>ND0040</v>
      </c>
      <c r="R8" s="73" t="str">
        <f>IFERROR(VLOOKUP(Productividad.[[#This Row],[DNI]],Ejecutivos.[],14,0),"Cesado")</f>
        <v>CESADO</v>
      </c>
      <c r="S8" s="73" t="str">
        <f>IFERROR(VLOOKUP(Productividad.[[#This Row],[DNI]],Ejecutivos.[],15,0),"Cesado")</f>
        <v>PN80239930621</v>
      </c>
      <c r="T8" s="74"/>
      <c r="U8" s="74"/>
    </row>
    <row r="9" spans="1:21" ht="14.25" customHeight="1">
      <c r="A9" s="46" t="str">
        <f>CONCATENATE(Productividad.[[#This Row],[DNI]],Productividad.[[#This Row],[Periodo]])</f>
        <v>4046316946143</v>
      </c>
      <c r="B9" s="47">
        <v>46143</v>
      </c>
      <c r="C9" s="32" t="s">
        <v>188</v>
      </c>
      <c r="D9" s="33" t="s">
        <v>189</v>
      </c>
      <c r="E9" s="34" t="s">
        <v>35</v>
      </c>
      <c r="F9" s="34" t="s">
        <v>152</v>
      </c>
      <c r="G9" s="34" t="s">
        <v>190</v>
      </c>
      <c r="H9" s="34" t="s">
        <v>184</v>
      </c>
      <c r="I9" s="35">
        <v>46143</v>
      </c>
      <c r="J9" s="34" t="s">
        <v>191</v>
      </c>
      <c r="K9" s="34">
        <v>942727743</v>
      </c>
      <c r="L9" s="34" t="s">
        <v>122</v>
      </c>
      <c r="M9" s="75" t="str">
        <f>Productividad.[[#This Row],[Ejecutivo]]</f>
        <v>Yessica Ruiz</v>
      </c>
      <c r="N9" s="75" t="str">
        <f>Productividad.[[#This Row],[DNI]]</f>
        <v>40463169</v>
      </c>
      <c r="O9" s="76" t="str" cm="1">
        <f t="array" ref="O9">IFERROR(_xlfn.IFS(Productividad.[[#This Row],[Supervisor]]="Jonathan Lapoint","Norte",Productividad.[[#This Row],[Supervisor]]="Jorge Fuentes","Norte"),"Lima")</f>
        <v>Lima</v>
      </c>
      <c r="P9" s="45" t="str">
        <f>IFERROR(VLOOKUP(Productividad.[[#This Row],[DNI]],Ejecutivos.[],12,0),"Cesado")</f>
        <v>Cesado</v>
      </c>
      <c r="Q9" s="76" t="str">
        <f>IFERROR(VLOOKUP(Productividad.[[#This Row],[DNI]],Ejecutivos.[],13,0),"Cesado")</f>
        <v>ND0014</v>
      </c>
      <c r="R9" s="76" t="str">
        <f>IFERROR(VLOOKUP(Productividad.[[#This Row],[DNI]],Ejecutivos.[],14,0),"Cesado")</f>
        <v>CESADO</v>
      </c>
      <c r="S9" s="76" t="str">
        <f>IFERROR(VLOOKUP(Productividad.[[#This Row],[DNI]],Ejecutivos.[],15,0),"Cesado")</f>
        <v>PN80239E30053</v>
      </c>
      <c r="T9" s="77"/>
      <c r="U9" s="77"/>
    </row>
    <row r="10" spans="1:21" ht="14.25" customHeight="1">
      <c r="A10" s="46" t="str">
        <f>CONCATENATE(Productividad.[[#This Row],[DNI]],Productividad.[[#This Row],[Periodo]])</f>
        <v>4754733246143</v>
      </c>
      <c r="B10" s="71">
        <v>46143</v>
      </c>
      <c r="C10" s="80" t="s">
        <v>168</v>
      </c>
      <c r="D10" s="79" t="s">
        <v>169</v>
      </c>
      <c r="E10" s="29" t="s">
        <v>35</v>
      </c>
      <c r="F10" s="34" t="s">
        <v>170</v>
      </c>
      <c r="G10" s="34" t="s">
        <v>171</v>
      </c>
      <c r="H10" s="34" t="s">
        <v>154</v>
      </c>
      <c r="I10" s="35">
        <v>46143</v>
      </c>
      <c r="J10" s="34" t="s">
        <v>172</v>
      </c>
      <c r="K10" s="34">
        <v>923835972</v>
      </c>
      <c r="L10" s="29" t="s">
        <v>122</v>
      </c>
      <c r="M10" s="75" t="str">
        <f>Productividad.[[#This Row],[Ejecutivo]]</f>
        <v>Luis Vila</v>
      </c>
      <c r="N10" s="75" t="str">
        <f>Productividad.[[#This Row],[DNI]]</f>
        <v>47547332</v>
      </c>
      <c r="O10" s="76" t="str" cm="1">
        <f t="array" ref="O10">IFERROR(_xlfn.IFS(Productividad.[[#This Row],[Supervisor]]="Jonathan Lapoint","Norte",Productividad.[[#This Row],[Supervisor]]="Jorge Fuentes","Norte"),"Lima")</f>
        <v>Lima</v>
      </c>
      <c r="P10" s="46" t="str">
        <f>IFERROR(VLOOKUP(Productividad.[[#This Row],[DNI]],Ejecutivos.[],12,0),"Cesado")</f>
        <v>Cesado</v>
      </c>
      <c r="Q10" s="76" t="str">
        <f>IFERROR(VLOOKUP(Productividad.[[#This Row],[DNI]],Ejecutivos.[],13,0),"Cesado")</f>
        <v>Cesado</v>
      </c>
      <c r="R10" s="76" t="str">
        <f>IFERROR(VLOOKUP(Productividad.[[#This Row],[DNI]],Ejecutivos.[],14,0),"Cesado")</f>
        <v>Cesado</v>
      </c>
      <c r="S10" s="76" t="str">
        <f>IFERROR(VLOOKUP(Productividad.[[#This Row],[DNI]],Ejecutivos.[],15,0),"Cesado")</f>
        <v>Cesado</v>
      </c>
      <c r="T10" s="77"/>
      <c r="U10" s="77"/>
    </row>
    <row r="11" spans="1:21" ht="14.25" customHeight="1">
      <c r="A11" s="45" t="str">
        <f>CONCATENATE(Productividad.[[#This Row],[DNI]],Productividad.[[#This Row],[Periodo]])</f>
        <v>4481820046143</v>
      </c>
      <c r="B11" s="48">
        <v>46143</v>
      </c>
      <c r="C11" s="22" t="s">
        <v>194</v>
      </c>
      <c r="D11" s="23" t="s">
        <v>48</v>
      </c>
      <c r="E11" s="24" t="s">
        <v>48</v>
      </c>
      <c r="F11" s="24" t="s">
        <v>21</v>
      </c>
      <c r="G11" s="24" t="s">
        <v>195</v>
      </c>
      <c r="H11" s="24" t="s">
        <v>21</v>
      </c>
      <c r="I11" s="25">
        <v>46143</v>
      </c>
      <c r="J11" s="24" t="s">
        <v>196</v>
      </c>
      <c r="K11" s="24">
        <v>940975389</v>
      </c>
      <c r="L11" s="24" t="s">
        <v>122</v>
      </c>
      <c r="M11" s="72" t="str">
        <f>Productividad.[[#This Row],[Ejecutivo]]</f>
        <v>Hamm Ramirez</v>
      </c>
      <c r="N11" s="72" t="str">
        <f>Productividad.[[#This Row],[DNI]]</f>
        <v>44818200</v>
      </c>
      <c r="O11" s="73" t="str" cm="1">
        <f t="array" ref="O11">IFERROR(_xlfn.IFS(Productividad.[[#This Row],[Supervisor]]="Jonathan Lapoint","Norte",Productividad.[[#This Row],[Supervisor]]="Jorge Fuentes","Norte"),"Lima")</f>
        <v>Lima</v>
      </c>
      <c r="P11" s="45" t="str">
        <f>IFERROR(VLOOKUP(Productividad.[[#This Row],[DNI]],Ejecutivos.[],12,0),"Cesado")</f>
        <v>Activo</v>
      </c>
      <c r="Q11" s="73" t="str">
        <f>IFERROR(VLOOKUP(Productividad.[[#This Row],[DNI]],Ejecutivos.[],13,0),"Cesado")</f>
        <v>SUPERVISOR</v>
      </c>
      <c r="R11" s="73" t="str">
        <f>IFERROR(VLOOKUP(Productividad.[[#This Row],[DNI]],Ejecutivos.[],14,0),"Cesado")</f>
        <v>TR12959</v>
      </c>
      <c r="S11" s="73" t="str">
        <f>IFERROR(VLOOKUP(Productividad.[[#This Row],[DNI]],Ejecutivos.[],15,0),"Cesado")</f>
        <v>SUPERVISOR</v>
      </c>
      <c r="T11" s="74"/>
      <c r="U11" s="74"/>
    </row>
    <row r="12" spans="1:21" ht="14.25" customHeight="1">
      <c r="A12" s="45" t="str">
        <f>CONCATENATE(Productividad.[[#This Row],[DNI]],Productividad.[[#This Row],[Periodo]])</f>
        <v>4488101946143</v>
      </c>
      <c r="B12" s="47">
        <v>46143</v>
      </c>
      <c r="C12" s="27" t="s">
        <v>198</v>
      </c>
      <c r="D12" s="29" t="s">
        <v>47</v>
      </c>
      <c r="E12" s="29" t="s">
        <v>48</v>
      </c>
      <c r="F12" s="29" t="s">
        <v>152</v>
      </c>
      <c r="G12" s="29" t="s">
        <v>49</v>
      </c>
      <c r="H12" s="29" t="s">
        <v>184</v>
      </c>
      <c r="I12" s="30">
        <v>46143</v>
      </c>
      <c r="J12" s="29" t="s">
        <v>199</v>
      </c>
      <c r="K12" s="29">
        <v>946845882</v>
      </c>
      <c r="L12" s="29" t="s">
        <v>122</v>
      </c>
      <c r="M12" s="72" t="str">
        <f>Productividad.[[#This Row],[Ejecutivo]]</f>
        <v>Jackeline Matos</v>
      </c>
      <c r="N12" s="72" t="str">
        <f>Productividad.[[#This Row],[DNI]]</f>
        <v>44881019</v>
      </c>
      <c r="O12" s="73" t="str" cm="1">
        <f t="array" ref="O12">IFERROR(_xlfn.IFS(Productividad.[[#This Row],[Supervisor]]="Jonathan Lapoint","Norte",Productividad.[[#This Row],[Supervisor]]="Jorge Fuentes","Norte"),"Lima")</f>
        <v>Lima</v>
      </c>
      <c r="P12" s="45" t="str">
        <f>IFERROR(VLOOKUP(Productividad.[[#This Row],[DNI]],Ejecutivos.[],12,0),"Cesado")</f>
        <v>Activo</v>
      </c>
      <c r="Q12" s="73" t="str">
        <f>IFERROR(VLOOKUP(Productividad.[[#This Row],[DNI]],Ejecutivos.[],13,0),"Cesado")</f>
        <v>ND0013</v>
      </c>
      <c r="R12" s="73" t="str">
        <f>IFERROR(VLOOKUP(Productividad.[[#This Row],[DNI]],Ejecutivos.[],14,0),"Cesado")</f>
        <v>TR12953</v>
      </c>
      <c r="S12" s="73" t="str">
        <f>IFERROR(VLOOKUP(Productividad.[[#This Row],[DNI]],Ejecutivos.[],15,0),"Cesado")</f>
        <v>PN80238230144</v>
      </c>
      <c r="T12" s="74"/>
      <c r="U12" s="74"/>
    </row>
    <row r="13" spans="1:21" ht="14.25" customHeight="1">
      <c r="A13" s="45" t="str">
        <f>CONCATENATE(Productividad.[[#This Row],[DNI]],Productividad.[[#This Row],[Periodo]])</f>
        <v>7704210246143</v>
      </c>
      <c r="B13" s="47">
        <v>46143</v>
      </c>
      <c r="C13" s="27" t="s">
        <v>202</v>
      </c>
      <c r="D13" s="28" t="s">
        <v>203</v>
      </c>
      <c r="E13" s="29" t="s">
        <v>48</v>
      </c>
      <c r="F13" s="29" t="s">
        <v>154</v>
      </c>
      <c r="G13" s="29" t="s">
        <v>204</v>
      </c>
      <c r="H13" s="29" t="s">
        <v>184</v>
      </c>
      <c r="I13" s="30">
        <v>46157</v>
      </c>
      <c r="J13" s="29" t="s">
        <v>205</v>
      </c>
      <c r="K13" s="29">
        <v>991029300</v>
      </c>
      <c r="L13" s="29" t="s">
        <v>122</v>
      </c>
      <c r="M13" s="72" t="str">
        <f>Productividad.[[#This Row],[Ejecutivo]]</f>
        <v>Luigi Castillo</v>
      </c>
      <c r="N13" s="72" t="str">
        <f>Productividad.[[#This Row],[DNI]]</f>
        <v>77042102</v>
      </c>
      <c r="O13" s="73" t="str" cm="1">
        <f t="array" ref="O13">IFERROR(_xlfn.IFS(Productividad.[[#This Row],[Supervisor]]="Jonathan Lapoint","Norte",Productividad.[[#This Row],[Supervisor]]="Jorge Fuentes","Norte"),"Lima")</f>
        <v>Lima</v>
      </c>
      <c r="P13" s="45" t="str">
        <f>IFERROR(VLOOKUP(Productividad.[[#This Row],[DNI]],Ejecutivos.[],12,0),"Cesado")</f>
        <v>Activo</v>
      </c>
      <c r="Q13" s="73" t="str">
        <f>IFERROR(VLOOKUP(Productividad.[[#This Row],[DNI]],Ejecutivos.[],13,0),"Cesado")</f>
        <v>ND0047</v>
      </c>
      <c r="R13" s="73" t="str">
        <f>IFERROR(VLOOKUP(Productividad.[[#This Row],[DNI]],Ejecutivos.[],14,0),"Cesado")</f>
        <v>TR12938</v>
      </c>
      <c r="S13" s="73" t="str">
        <f>IFERROR(VLOOKUP(Productividad.[[#This Row],[DNI]],Ejecutivos.[],15,0),"Cesado")</f>
        <v>FALTA</v>
      </c>
      <c r="T13" s="74"/>
      <c r="U13" s="74"/>
    </row>
    <row r="14" spans="1:21" ht="14.25" customHeight="1">
      <c r="A14" s="45" t="str">
        <f>CONCATENATE(Productividad.[[#This Row],[DNI]],Productividad.[[#This Row],[Periodo]])</f>
        <v>4061035846143</v>
      </c>
      <c r="B14" s="47">
        <v>46143</v>
      </c>
      <c r="C14" s="27" t="s">
        <v>207</v>
      </c>
      <c r="D14" s="28" t="s">
        <v>208</v>
      </c>
      <c r="E14" s="29" t="s">
        <v>48</v>
      </c>
      <c r="F14" s="29" t="s">
        <v>154</v>
      </c>
      <c r="G14" s="29" t="s">
        <v>209</v>
      </c>
      <c r="H14" s="29" t="s">
        <v>184</v>
      </c>
      <c r="I14" s="30">
        <v>46143</v>
      </c>
      <c r="J14" s="29" t="s">
        <v>210</v>
      </c>
      <c r="K14" s="29">
        <v>947118814</v>
      </c>
      <c r="L14" s="29" t="s">
        <v>122</v>
      </c>
      <c r="M14" s="72" t="str">
        <f>Productividad.[[#This Row],[Ejecutivo]]</f>
        <v>Nestor Jarama</v>
      </c>
      <c r="N14" s="72" t="str">
        <f>Productividad.[[#This Row],[DNI]]</f>
        <v>40610358</v>
      </c>
      <c r="O14" s="73" t="str" cm="1">
        <f t="array" ref="O14">IFERROR(_xlfn.IFS(Productividad.[[#This Row],[Supervisor]]="Jonathan Lapoint","Norte",Productividad.[[#This Row],[Supervisor]]="Jorge Fuentes","Norte"),"Lima")</f>
        <v>Lima</v>
      </c>
      <c r="P14" s="45" t="str">
        <f>IFERROR(VLOOKUP(Productividad.[[#This Row],[DNI]],Ejecutivos.[],12,0),"Cesado")</f>
        <v>Activo</v>
      </c>
      <c r="Q14" s="73" t="str">
        <f>IFERROR(VLOOKUP(Productividad.[[#This Row],[DNI]],Ejecutivos.[],13,0),"Cesado")</f>
        <v>ND0021</v>
      </c>
      <c r="R14" s="73" t="str">
        <f>IFERROR(VLOOKUP(Productividad.[[#This Row],[DNI]],Ejecutivos.[],14,0),"Cesado")</f>
        <v>TR12960</v>
      </c>
      <c r="S14" s="73" t="str">
        <f>IFERROR(VLOOKUP(Productividad.[[#This Row],[DNI]],Ejecutivos.[],15,0),"Cesado")</f>
        <v>PN0621BR40824</v>
      </c>
      <c r="T14" s="74"/>
      <c r="U14" s="74"/>
    </row>
    <row r="15" spans="1:21" ht="14.25" customHeight="1">
      <c r="A15" s="45" t="str">
        <f>CONCATENATE(Productividad.[[#This Row],[DNI]],Productividad.[[#This Row],[Periodo]])</f>
        <v>4768834146143</v>
      </c>
      <c r="B15" s="48">
        <v>46143</v>
      </c>
      <c r="C15" s="22" t="s">
        <v>213</v>
      </c>
      <c r="D15" s="23" t="s">
        <v>64</v>
      </c>
      <c r="E15" s="24" t="s">
        <v>64</v>
      </c>
      <c r="F15" s="24" t="s">
        <v>21</v>
      </c>
      <c r="G15" s="24" t="s">
        <v>214</v>
      </c>
      <c r="H15" s="24" t="s">
        <v>21</v>
      </c>
      <c r="I15" s="25">
        <v>46143</v>
      </c>
      <c r="J15" s="24" t="s">
        <v>215</v>
      </c>
      <c r="K15" s="24">
        <v>924525579</v>
      </c>
      <c r="L15" s="24" t="s">
        <v>122</v>
      </c>
      <c r="M15" s="72" t="str">
        <f>Productividad.[[#This Row],[Ejecutivo]]</f>
        <v>Jean Aguilar</v>
      </c>
      <c r="N15" s="72" t="str">
        <f>Productividad.[[#This Row],[DNI]]</f>
        <v>47688341</v>
      </c>
      <c r="O15" s="73" t="str" cm="1">
        <f t="array" ref="O15">IFERROR(_xlfn.IFS(Productividad.[[#This Row],[Supervisor]]="Jonathan Lapoint","Norte",Productividad.[[#This Row],[Supervisor]]="Jorge Fuentes","Norte"),"Lima")</f>
        <v>Lima</v>
      </c>
      <c r="P15" s="45" t="str">
        <f>IFERROR(VLOOKUP(Productividad.[[#This Row],[DNI]],Ejecutivos.[],12,0),"Cesado")</f>
        <v>Activo</v>
      </c>
      <c r="Q15" s="73" t="str">
        <f>IFERROR(VLOOKUP(Productividad.[[#This Row],[DNI]],Ejecutivos.[],13,0),"Cesado")</f>
        <v>SUPERVISOR</v>
      </c>
      <c r="R15" s="73" t="str">
        <f>IFERROR(VLOOKUP(Productividad.[[#This Row],[DNI]],Ejecutivos.[],14,0),"Cesado")</f>
        <v>TR12952</v>
      </c>
      <c r="S15" s="73" t="str">
        <f>IFERROR(VLOOKUP(Productividad.[[#This Row],[DNI]],Ejecutivos.[],15,0),"Cesado")</f>
        <v>SUPERVISOR</v>
      </c>
      <c r="T15" s="74"/>
      <c r="U15" s="74"/>
    </row>
    <row r="16" spans="1:21" ht="14.25" customHeight="1">
      <c r="A16" s="45" t="str">
        <f>CONCATENATE(Productividad.[[#This Row],[DNI]],Productividad.[[#This Row],[Periodo]])</f>
        <v>4674148346143</v>
      </c>
      <c r="B16" s="47">
        <v>46143</v>
      </c>
      <c r="C16" s="27" t="s">
        <v>217</v>
      </c>
      <c r="D16" s="29" t="s">
        <v>218</v>
      </c>
      <c r="E16" s="29" t="s">
        <v>64</v>
      </c>
      <c r="F16" s="29" t="s">
        <v>154</v>
      </c>
      <c r="G16" s="29" t="s">
        <v>219</v>
      </c>
      <c r="H16" s="29" t="s">
        <v>184</v>
      </c>
      <c r="I16" s="30">
        <v>46143</v>
      </c>
      <c r="J16" s="29" t="s">
        <v>220</v>
      </c>
      <c r="K16" s="29">
        <v>950233606</v>
      </c>
      <c r="L16" s="29" t="s">
        <v>122</v>
      </c>
      <c r="M16" s="72" t="str">
        <f>Productividad.[[#This Row],[Ejecutivo]]</f>
        <v>Angelo Zavala</v>
      </c>
      <c r="N16" s="72" t="str">
        <f>Productividad.[[#This Row],[DNI]]</f>
        <v>46741483</v>
      </c>
      <c r="O16" s="73" t="str" cm="1">
        <f t="array" ref="O16">IFERROR(_xlfn.IFS(Productividad.[[#This Row],[Supervisor]]="Jonathan Lapoint","Norte",Productividad.[[#This Row],[Supervisor]]="Jorge Fuentes","Norte"),"Lima")</f>
        <v>Lima</v>
      </c>
      <c r="P16" s="45" t="str">
        <f>IFERROR(VLOOKUP(Productividad.[[#This Row],[DNI]],Ejecutivos.[],12,0),"Cesado")</f>
        <v>Activo</v>
      </c>
      <c r="Q16" s="73" t="str">
        <f>IFERROR(VLOOKUP(Productividad.[[#This Row],[DNI]],Ejecutivos.[],13,0),"Cesado")</f>
        <v>ND0010</v>
      </c>
      <c r="R16" s="73" t="str">
        <f>IFERROR(VLOOKUP(Productividad.[[#This Row],[DNI]],Ejecutivos.[],14,0),"Cesado")</f>
        <v>TR12956</v>
      </c>
      <c r="S16" s="73" t="str">
        <f>IFERROR(VLOOKUP(Productividad.[[#This Row],[DNI]],Ejecutivos.[],15,0),"Cesado")</f>
        <v>PN14229631508</v>
      </c>
      <c r="T16" s="74"/>
      <c r="U16" s="74"/>
    </row>
    <row r="17" spans="1:21" ht="14.25" customHeight="1">
      <c r="A17" s="45" t="str">
        <f>CONCATENATE(Productividad.[[#This Row],[DNI]],Productividad.[[#This Row],[Periodo]])</f>
        <v>4531169146143</v>
      </c>
      <c r="B17" s="47">
        <v>46143</v>
      </c>
      <c r="C17" s="27" t="s">
        <v>223</v>
      </c>
      <c r="D17" s="28" t="s">
        <v>74</v>
      </c>
      <c r="E17" s="29" t="s">
        <v>64</v>
      </c>
      <c r="F17" s="29" t="s">
        <v>170</v>
      </c>
      <c r="G17" s="29" t="s">
        <v>53</v>
      </c>
      <c r="H17" s="29" t="s">
        <v>154</v>
      </c>
      <c r="I17" s="30">
        <v>46143</v>
      </c>
      <c r="J17" s="29" t="s">
        <v>224</v>
      </c>
      <c r="K17" s="29">
        <v>944290819</v>
      </c>
      <c r="L17" s="29" t="s">
        <v>122</v>
      </c>
      <c r="M17" s="72" t="str">
        <f>Productividad.[[#This Row],[Ejecutivo]]</f>
        <v>Edinson Chuyes</v>
      </c>
      <c r="N17" s="72" t="str">
        <f>Productividad.[[#This Row],[DNI]]</f>
        <v>45311691</v>
      </c>
      <c r="O17" s="73" t="str" cm="1">
        <f t="array" ref="O17">IFERROR(_xlfn.IFS(Productividad.[[#This Row],[Supervisor]]="Jonathan Lapoint","Norte",Productividad.[[#This Row],[Supervisor]]="Jorge Fuentes","Norte"),"Lima")</f>
        <v>Lima</v>
      </c>
      <c r="P17" s="45" t="str">
        <f>IFERROR(VLOOKUP(Productividad.[[#This Row],[DNI]],Ejecutivos.[],12,0),"Cesado")</f>
        <v>Activo</v>
      </c>
      <c r="Q17" s="73" t="str">
        <f>IFERROR(VLOOKUP(Productividad.[[#This Row],[DNI]],Ejecutivos.[],13,0),"Cesado")</f>
        <v>ND0004</v>
      </c>
      <c r="R17" s="73" t="str">
        <f>IFERROR(VLOOKUP(Productividad.[[#This Row],[DNI]],Ejecutivos.[],14,0),"Cesado")</f>
        <v>TR12967</v>
      </c>
      <c r="S17" s="73" t="str">
        <f>IFERROR(VLOOKUP(Productividad.[[#This Row],[DNI]],Ejecutivos.[],15,0),"Cesado")</f>
        <v>PN80236E31787</v>
      </c>
      <c r="T17" s="74"/>
      <c r="U17" s="74"/>
    </row>
    <row r="18" spans="1:21" ht="14.25" customHeight="1">
      <c r="A18" s="45" t="str">
        <f>CONCATENATE(Productividad.[[#This Row],[DNI]],Productividad.[[#This Row],[Periodo]])</f>
        <v>7701609546143</v>
      </c>
      <c r="B18" s="47">
        <v>46143</v>
      </c>
      <c r="C18" s="27" t="s">
        <v>227</v>
      </c>
      <c r="D18" s="28" t="s">
        <v>86</v>
      </c>
      <c r="E18" s="29" t="s">
        <v>64</v>
      </c>
      <c r="F18" s="29" t="s">
        <v>154</v>
      </c>
      <c r="G18" s="29" t="s">
        <v>87</v>
      </c>
      <c r="H18" s="29" t="s">
        <v>184</v>
      </c>
      <c r="I18" s="30">
        <v>46143</v>
      </c>
      <c r="J18" s="29" t="s">
        <v>228</v>
      </c>
      <c r="K18" s="29">
        <v>992165027</v>
      </c>
      <c r="L18" s="29" t="s">
        <v>122</v>
      </c>
      <c r="M18" s="72" t="str">
        <f>Productividad.[[#This Row],[Ejecutivo]]</f>
        <v>Guadalupe Del Pino</v>
      </c>
      <c r="N18" s="72" t="str">
        <f>Productividad.[[#This Row],[DNI]]</f>
        <v>77016095</v>
      </c>
      <c r="O18" s="73" t="str" cm="1">
        <f t="array" ref="O18">IFERROR(_xlfn.IFS(Productividad.[[#This Row],[Supervisor]]="Jonathan Lapoint","Norte",Productividad.[[#This Row],[Supervisor]]="Jorge Fuentes","Norte"),"Lima")</f>
        <v>Lima</v>
      </c>
      <c r="P18" s="45" t="str">
        <f>IFERROR(VLOOKUP(Productividad.[[#This Row],[DNI]],Ejecutivos.[],12,0),"Cesado")</f>
        <v>Activo</v>
      </c>
      <c r="Q18" s="73" t="str">
        <f>IFERROR(VLOOKUP(Productividad.[[#This Row],[DNI]],Ejecutivos.[],13,0),"Cesado")</f>
        <v>ND0023</v>
      </c>
      <c r="R18" s="73" t="str">
        <f>IFERROR(VLOOKUP(Productividad.[[#This Row],[DNI]],Ejecutivos.[],14,0),"Cesado")</f>
        <v>TR12954</v>
      </c>
      <c r="S18" s="73" t="str">
        <f>IFERROR(VLOOKUP(Productividad.[[#This Row],[DNI]],Ejecutivos.[],15,0),"Cesado")</f>
        <v>PN80239C31145</v>
      </c>
      <c r="T18" s="74"/>
      <c r="U18" s="74"/>
    </row>
    <row r="19" spans="1:21" ht="14.25" customHeight="1">
      <c r="A19" s="45" t="str">
        <f>CONCATENATE(Productividad.[[#This Row],[DNI]],Productividad.[[#This Row],[Periodo]])</f>
        <v>4130907646143</v>
      </c>
      <c r="B19" s="47">
        <v>46143</v>
      </c>
      <c r="C19" s="27" t="s">
        <v>230</v>
      </c>
      <c r="D19" s="28" t="s">
        <v>69</v>
      </c>
      <c r="E19" s="29" t="s">
        <v>64</v>
      </c>
      <c r="F19" s="29" t="s">
        <v>154</v>
      </c>
      <c r="G19" s="29" t="s">
        <v>821</v>
      </c>
      <c r="H19" s="29" t="s">
        <v>184</v>
      </c>
      <c r="I19" s="30">
        <v>46143</v>
      </c>
      <c r="J19" s="29" t="s">
        <v>231</v>
      </c>
      <c r="K19" s="29">
        <v>973824987</v>
      </c>
      <c r="L19" s="29" t="s">
        <v>122</v>
      </c>
      <c r="M19" s="72" t="str">
        <f>Productividad.[[#This Row],[Ejecutivo]]</f>
        <v>Jonathan Lavado</v>
      </c>
      <c r="N19" s="72" t="str">
        <f>Productividad.[[#This Row],[DNI]]</f>
        <v>41309076</v>
      </c>
      <c r="O19" s="73" t="str" cm="1">
        <f t="array" ref="O19">IFERROR(_xlfn.IFS(Productividad.[[#This Row],[Supervisor]]="Jonathan Lapoint","Norte",Productividad.[[#This Row],[Supervisor]]="Jorge Fuentes","Norte"),"Lima")</f>
        <v>Lima</v>
      </c>
      <c r="P19" s="45" t="str">
        <f>IFERROR(VLOOKUP(Productividad.[[#This Row],[DNI]],Ejecutivos.[],12,0),"Cesado")</f>
        <v>Activo</v>
      </c>
      <c r="Q19" s="73" t="str">
        <f>IFERROR(VLOOKUP(Productividad.[[#This Row],[DNI]],Ejecutivos.[],13,0),"Cesado")</f>
        <v>ND0032</v>
      </c>
      <c r="R19" s="73" t="str">
        <f>IFERROR(VLOOKUP(Productividad.[[#This Row],[DNI]],Ejecutivos.[],14,0),"Cesado")</f>
        <v>TR12949</v>
      </c>
      <c r="S19" s="73" t="str">
        <f>IFERROR(VLOOKUP(Productividad.[[#This Row],[DNI]],Ejecutivos.[],15,0),"Cesado")</f>
        <v>PN1421AF41036</v>
      </c>
      <c r="T19" s="74"/>
      <c r="U19" s="74"/>
    </row>
    <row r="20" spans="1:21" ht="14.25" customHeight="1">
      <c r="A20" s="45" t="str">
        <f>CONCATENATE(Productividad.[[#This Row],[DNI]],Productividad.[[#This Row],[Periodo]])</f>
        <v>7015101046143</v>
      </c>
      <c r="B20" s="47">
        <v>46143</v>
      </c>
      <c r="C20" s="27" t="s">
        <v>233</v>
      </c>
      <c r="D20" s="28" t="s">
        <v>63</v>
      </c>
      <c r="E20" s="29" t="s">
        <v>64</v>
      </c>
      <c r="F20" s="29" t="s">
        <v>154</v>
      </c>
      <c r="G20" s="29" t="s">
        <v>65</v>
      </c>
      <c r="H20" s="29" t="s">
        <v>154</v>
      </c>
      <c r="I20" s="30">
        <v>46143</v>
      </c>
      <c r="J20" s="29" t="s">
        <v>234</v>
      </c>
      <c r="K20" s="29">
        <v>964152198</v>
      </c>
      <c r="L20" s="29" t="s">
        <v>122</v>
      </c>
      <c r="M20" s="72" t="str">
        <f>Productividad.[[#This Row],[Ejecutivo]]</f>
        <v>Richard Benites</v>
      </c>
      <c r="N20" s="72" t="str">
        <f>Productividad.[[#This Row],[DNI]]</f>
        <v>70151010</v>
      </c>
      <c r="O20" s="73" t="str" cm="1">
        <f t="array" ref="O20">IFERROR(_xlfn.IFS(Productividad.[[#This Row],[Supervisor]]="Jonathan Lapoint","Norte",Productividad.[[#This Row],[Supervisor]]="Jorge Fuentes","Norte"),"Lima")</f>
        <v>Lima</v>
      </c>
      <c r="P20" s="45" t="str">
        <f>IFERROR(VLOOKUP(Productividad.[[#This Row],[DNI]],Ejecutivos.[],12,0),"Cesado")</f>
        <v>Activo</v>
      </c>
      <c r="Q20" s="73" t="str">
        <f>IFERROR(VLOOKUP(Productividad.[[#This Row],[DNI]],Ejecutivos.[],13,0),"Cesado")</f>
        <v>ND0005</v>
      </c>
      <c r="R20" s="73" t="str">
        <f>IFERROR(VLOOKUP(Productividad.[[#This Row],[DNI]],Ejecutivos.[],14,0),"Cesado")</f>
        <v>TR12968</v>
      </c>
      <c r="S20" s="73" t="str">
        <f>IFERROR(VLOOKUP(Productividad.[[#This Row],[DNI]],Ejecutivos.[],15,0),"Cesado")</f>
        <v>PN14229631797</v>
      </c>
      <c r="T20" s="74"/>
      <c r="U20" s="74"/>
    </row>
    <row r="21" spans="1:21" ht="14.25" customHeight="1">
      <c r="A21" s="45" t="str">
        <f>CONCATENATE(Productividad.[[#This Row],[DNI]],Productividad.[[#This Row],[Periodo]])</f>
        <v>7043055446143</v>
      </c>
      <c r="B21" s="48">
        <v>46143</v>
      </c>
      <c r="C21" s="22" t="s">
        <v>237</v>
      </c>
      <c r="D21" s="23" t="s">
        <v>98</v>
      </c>
      <c r="E21" s="24" t="s">
        <v>98</v>
      </c>
      <c r="F21" s="24" t="s">
        <v>21</v>
      </c>
      <c r="G21" s="24" t="s">
        <v>238</v>
      </c>
      <c r="H21" s="24" t="s">
        <v>21</v>
      </c>
      <c r="I21" s="25">
        <v>46143</v>
      </c>
      <c r="J21" s="24" t="s">
        <v>239</v>
      </c>
      <c r="K21" s="24">
        <v>934712424</v>
      </c>
      <c r="L21" s="24" t="s">
        <v>240</v>
      </c>
      <c r="M21" s="72" t="str">
        <f>Productividad.[[#This Row],[Ejecutivo]]</f>
        <v>Jonathan Lapoint</v>
      </c>
      <c r="N21" s="72" t="str">
        <f>Productividad.[[#This Row],[DNI]]</f>
        <v>70430554</v>
      </c>
      <c r="O21" s="73" t="str" cm="1">
        <f t="array" ref="O21">IFERROR(_xlfn.IFS(Productividad.[[#This Row],[Supervisor]]="Jonathan Lapoint","Norte",Productividad.[[#This Row],[Supervisor]]="Jorge Fuentes","Norte"),"Lima")</f>
        <v>Norte</v>
      </c>
      <c r="P21" s="45" t="str">
        <f>IFERROR(VLOOKUP(Productividad.[[#This Row],[DNI]],Ejecutivos.[],12,0),"Cesado")</f>
        <v>Activo</v>
      </c>
      <c r="Q21" s="73" t="str">
        <f>IFERROR(VLOOKUP(Productividad.[[#This Row],[DNI]],Ejecutivos.[],13,0),"Cesado")</f>
        <v>SUPERVISOR</v>
      </c>
      <c r="R21" s="73" t="str">
        <f>IFERROR(VLOOKUP(Productividad.[[#This Row],[DNI]],Ejecutivos.[],14,0),"Cesado")</f>
        <v>TR12950</v>
      </c>
      <c r="S21" s="73" t="str">
        <f>IFERROR(VLOOKUP(Productividad.[[#This Row],[DNI]],Ejecutivos.[],15,0),"Cesado")</f>
        <v>SUPERVISOR</v>
      </c>
      <c r="T21" s="74"/>
      <c r="U21" s="74"/>
    </row>
    <row r="22" spans="1:21" ht="14.25" customHeight="1">
      <c r="A22" s="45" t="str">
        <f>CONCATENATE(Productividad.[[#This Row],[DNI]],Productividad.[[#This Row],[Periodo]])</f>
        <v>7603264546143</v>
      </c>
      <c r="B22" s="47">
        <v>46143</v>
      </c>
      <c r="C22" s="27" t="s">
        <v>242</v>
      </c>
      <c r="D22" s="28" t="s">
        <v>97</v>
      </c>
      <c r="E22" s="29" t="s">
        <v>98</v>
      </c>
      <c r="F22" s="29" t="s">
        <v>152</v>
      </c>
      <c r="G22" s="29" t="s">
        <v>99</v>
      </c>
      <c r="H22" s="29" t="s">
        <v>154</v>
      </c>
      <c r="I22" s="30">
        <v>46143</v>
      </c>
      <c r="J22" s="29" t="s">
        <v>243</v>
      </c>
      <c r="K22" s="29">
        <v>995963073</v>
      </c>
      <c r="L22" s="29" t="s">
        <v>240</v>
      </c>
      <c r="M22" s="72" t="str">
        <f>Productividad.[[#This Row],[Ejecutivo]]</f>
        <v>Alberto Chaname</v>
      </c>
      <c r="N22" s="72" t="str">
        <f>Productividad.[[#This Row],[DNI]]</f>
        <v>76032645</v>
      </c>
      <c r="O22" s="73" t="str" cm="1">
        <f t="array" ref="O22">IFERROR(_xlfn.IFS(Productividad.[[#This Row],[Supervisor]]="Jonathan Lapoint","Norte",Productividad.[[#This Row],[Supervisor]]="Jorge Fuentes","Norte"),"Lima")</f>
        <v>Norte</v>
      </c>
      <c r="P22" s="45" t="str">
        <f>IFERROR(VLOOKUP(Productividad.[[#This Row],[DNI]],Ejecutivos.[],12,0),"Cesado")</f>
        <v>Activo</v>
      </c>
      <c r="Q22" s="73" t="str">
        <f>IFERROR(VLOOKUP(Productividad.[[#This Row],[DNI]],Ejecutivos.[],13,0),"Cesado")</f>
        <v>ND0008</v>
      </c>
      <c r="R22" s="73" t="str">
        <f>IFERROR(VLOOKUP(Productividad.[[#This Row],[DNI]],Ejecutivos.[],14,0),"Cesado")</f>
        <v>TR12976</v>
      </c>
      <c r="S22" s="73" t="str">
        <f>IFERROR(VLOOKUP(Productividad.[[#This Row],[DNI]],Ejecutivos.[],15,0),"Cesado")</f>
        <v>PN04219D40090</v>
      </c>
      <c r="T22" s="74"/>
      <c r="U22" s="74"/>
    </row>
    <row r="23" spans="1:21" ht="14.25" customHeight="1">
      <c r="A23" s="45" t="str">
        <f>CONCATENATE(Productividad.[[#This Row],[DNI]],Productividad.[[#This Row],[Periodo]])</f>
        <v>4236870046143</v>
      </c>
      <c r="B23" s="47">
        <v>46143</v>
      </c>
      <c r="C23" s="27" t="s">
        <v>246</v>
      </c>
      <c r="D23" s="28" t="s">
        <v>247</v>
      </c>
      <c r="E23" s="29" t="s">
        <v>98</v>
      </c>
      <c r="F23" s="29" t="s">
        <v>154</v>
      </c>
      <c r="G23" s="29" t="s">
        <v>248</v>
      </c>
      <c r="H23" s="29" t="s">
        <v>184</v>
      </c>
      <c r="I23" s="30">
        <v>46143</v>
      </c>
      <c r="J23" s="29" t="s">
        <v>249</v>
      </c>
      <c r="K23" s="29">
        <v>994502138</v>
      </c>
      <c r="L23" s="29" t="s">
        <v>240</v>
      </c>
      <c r="M23" s="72" t="str">
        <f>Productividad.[[#This Row],[Ejecutivo]]</f>
        <v>Billy Villacrez</v>
      </c>
      <c r="N23" s="72" t="str">
        <f>Productividad.[[#This Row],[DNI]]</f>
        <v>42368700</v>
      </c>
      <c r="O23" s="73" t="str" cm="1">
        <f t="array" ref="O23">IFERROR(_xlfn.IFS(Productividad.[[#This Row],[Supervisor]]="Jonathan Lapoint","Norte",Productividad.[[#This Row],[Supervisor]]="Jorge Fuentes","Norte"),"Lima")</f>
        <v>Norte</v>
      </c>
      <c r="P23" s="45" t="str">
        <f>IFERROR(VLOOKUP(Productividad.[[#This Row],[DNI]],Ejecutivos.[],12,0),"Cesado")</f>
        <v>Activo</v>
      </c>
      <c r="Q23" s="73" t="str">
        <f>IFERROR(VLOOKUP(Productividad.[[#This Row],[DNI]],Ejecutivos.[],13,0),"Cesado")</f>
        <v>ND0036</v>
      </c>
      <c r="R23" s="73" t="str">
        <f>IFERROR(VLOOKUP(Productividad.[[#This Row],[DNI]],Ejecutivos.[],14,0),"Cesado")</f>
        <v>TR12939</v>
      </c>
      <c r="S23" s="73" t="str">
        <f>IFERROR(VLOOKUP(Productividad.[[#This Row],[DNI]],Ejecutivos.[],15,0),"Cesado")</f>
        <v>PN14224M41780</v>
      </c>
      <c r="T23" s="74"/>
      <c r="U23" s="74"/>
    </row>
    <row r="24" spans="1:21" ht="14.25" customHeight="1">
      <c r="A24" s="45" t="str">
        <f>CONCATENATE(Productividad.[[#This Row],[DNI]],Productividad.[[#This Row],[Periodo]])</f>
        <v>7406564646143</v>
      </c>
      <c r="B24" s="47">
        <v>46143</v>
      </c>
      <c r="C24" s="27" t="s">
        <v>257</v>
      </c>
      <c r="D24" s="28" t="s">
        <v>258</v>
      </c>
      <c r="E24" s="29" t="s">
        <v>98</v>
      </c>
      <c r="F24" s="29" t="s">
        <v>154</v>
      </c>
      <c r="G24" s="29" t="s">
        <v>259</v>
      </c>
      <c r="H24" s="29" t="s">
        <v>184</v>
      </c>
      <c r="I24" s="30">
        <v>46143</v>
      </c>
      <c r="J24" s="29" t="s">
        <v>260</v>
      </c>
      <c r="K24" s="29">
        <v>990189915</v>
      </c>
      <c r="L24" s="29" t="s">
        <v>261</v>
      </c>
      <c r="M24" s="72" t="str">
        <f>Productividad.[[#This Row],[Ejecutivo]]</f>
        <v>Claudia Negrete</v>
      </c>
      <c r="N24" s="72" t="str">
        <f>Productividad.[[#This Row],[DNI]]</f>
        <v>74065646</v>
      </c>
      <c r="O24" s="73" t="str" cm="1">
        <f t="array" ref="O24">IFERROR(_xlfn.IFS(Productividad.[[#This Row],[Supervisor]]="Jonathan Lapoint","Norte",Productividad.[[#This Row],[Supervisor]]="Jorge Fuentes","Norte"),"Lima")</f>
        <v>Norte</v>
      </c>
      <c r="P24" s="45" t="str">
        <f>IFERROR(VLOOKUP(Productividad.[[#This Row],[DNI]],Ejecutivos.[],12,0),"Cesado")</f>
        <v>Activo</v>
      </c>
      <c r="Q24" s="73" t="str">
        <f>IFERROR(VLOOKUP(Productividad.[[#This Row],[DNI]],Ejecutivos.[],13,0),"Cesado")</f>
        <v>ND0041</v>
      </c>
      <c r="R24" s="73" t="str">
        <f>IFERROR(VLOOKUP(Productividad.[[#This Row],[DNI]],Ejecutivos.[],14,0),"Cesado")</f>
        <v>TR12965</v>
      </c>
      <c r="S24" s="73" t="str">
        <f>IFERROR(VLOOKUP(Productividad.[[#This Row],[DNI]],Ejecutivos.[],15,0),"Cesado")</f>
        <v>PN14229631201</v>
      </c>
      <c r="T24" s="74"/>
      <c r="U24" s="74"/>
    </row>
    <row r="25" spans="1:21" ht="14.25" customHeight="1">
      <c r="A25" s="45" t="str">
        <f>CONCATENATE(Productividad.[[#This Row],[DNI]],Productividad.[[#This Row],[Periodo]])</f>
        <v>7264156946143</v>
      </c>
      <c r="B25" s="47">
        <v>46143</v>
      </c>
      <c r="C25" s="27" t="s">
        <v>264</v>
      </c>
      <c r="D25" s="28" t="s">
        <v>265</v>
      </c>
      <c r="E25" s="29" t="s">
        <v>98</v>
      </c>
      <c r="F25" s="29" t="s">
        <v>154</v>
      </c>
      <c r="G25" s="29" t="s">
        <v>266</v>
      </c>
      <c r="H25" s="29" t="s">
        <v>184</v>
      </c>
      <c r="I25" s="30">
        <v>46143</v>
      </c>
      <c r="J25" s="29" t="s">
        <v>267</v>
      </c>
      <c r="K25" s="29">
        <v>0</v>
      </c>
      <c r="L25" s="29" t="s">
        <v>261</v>
      </c>
      <c r="M25" s="72" t="str">
        <f>Productividad.[[#This Row],[Ejecutivo]]</f>
        <v>Katherine Zuloeta</v>
      </c>
      <c r="N25" s="72" t="str">
        <f>Productividad.[[#This Row],[DNI]]</f>
        <v>72641569</v>
      </c>
      <c r="O25" s="73" t="str" cm="1">
        <f t="array" ref="O25">IFERROR(_xlfn.IFS(Productividad.[[#This Row],[Supervisor]]="Jonathan Lapoint","Norte",Productividad.[[#This Row],[Supervisor]]="Jorge Fuentes","Norte"),"Lima")</f>
        <v>Norte</v>
      </c>
      <c r="P25" s="45" t="str">
        <f>IFERROR(VLOOKUP(Productividad.[[#This Row],[DNI]],Ejecutivos.[],12,0),"Cesado")</f>
        <v>Activo</v>
      </c>
      <c r="Q25" s="73" t="str">
        <f>IFERROR(VLOOKUP(Productividad.[[#This Row],[DNI]],Ejecutivos.[],13,0),"Cesado")</f>
        <v>ND0033</v>
      </c>
      <c r="R25" s="73" t="str">
        <f>IFERROR(VLOOKUP(Productividad.[[#This Row],[DNI]],Ejecutivos.[],14,0),"Cesado")</f>
        <v>TR12947</v>
      </c>
      <c r="S25" s="73" t="str">
        <f>IFERROR(VLOOKUP(Productividad.[[#This Row],[DNI]],Ejecutivos.[],15,0),"Cesado")</f>
        <v>PN14213Q21808</v>
      </c>
      <c r="T25" s="74"/>
      <c r="U25" s="74"/>
    </row>
    <row r="26" spans="1:21" ht="14.25" customHeight="1">
      <c r="A26" s="45" t="str">
        <f>CONCATENATE(Productividad.[[#This Row],[DNI]],Productividad.[[#This Row],[Periodo]])</f>
        <v>0010043646143</v>
      </c>
      <c r="B26" s="47">
        <v>46143</v>
      </c>
      <c r="C26" s="27" t="s">
        <v>270</v>
      </c>
      <c r="D26" s="28" t="s">
        <v>271</v>
      </c>
      <c r="E26" s="29" t="s">
        <v>98</v>
      </c>
      <c r="F26" s="29" t="s">
        <v>154</v>
      </c>
      <c r="G26" s="29" t="s">
        <v>272</v>
      </c>
      <c r="H26" s="29" t="s">
        <v>184</v>
      </c>
      <c r="I26" s="30">
        <v>46143</v>
      </c>
      <c r="J26" s="29" t="s">
        <v>273</v>
      </c>
      <c r="K26" s="29">
        <v>980946913</v>
      </c>
      <c r="L26" s="29" t="s">
        <v>274</v>
      </c>
      <c r="M26" s="72" t="str">
        <f>Productividad.[[#This Row],[Ejecutivo]]</f>
        <v>Lin Ley Casique</v>
      </c>
      <c r="N26" s="72" t="str">
        <f>Productividad.[[#This Row],[DNI]]</f>
        <v>00100436</v>
      </c>
      <c r="O26" s="73" t="str" cm="1">
        <f t="array" ref="O26">IFERROR(_xlfn.IFS(Productividad.[[#This Row],[Supervisor]]="Jonathan Lapoint","Norte",Productividad.[[#This Row],[Supervisor]]="Jorge Fuentes","Norte"),"Lima")</f>
        <v>Norte</v>
      </c>
      <c r="P26" s="45" t="str">
        <f>IFERROR(VLOOKUP(Productividad.[[#This Row],[DNI]],Ejecutivos.[],12,0),"Cesado")</f>
        <v>Activo</v>
      </c>
      <c r="Q26" s="73" t="str">
        <f>IFERROR(VLOOKUP(Productividad.[[#This Row],[DNI]],Ejecutivos.[],13,0),"Cesado")</f>
        <v>ND0034</v>
      </c>
      <c r="R26" s="73" t="str">
        <f>IFERROR(VLOOKUP(Productividad.[[#This Row],[DNI]],Ejecutivos.[],14,0),"Cesado")</f>
        <v>TR12940</v>
      </c>
      <c r="S26" s="73" t="str">
        <f>IFERROR(VLOOKUP(Productividad.[[#This Row],[DNI]],Ejecutivos.[],15,0),"Cesado")</f>
        <v>PN06221A41712</v>
      </c>
      <c r="T26" s="74"/>
      <c r="U26" s="74"/>
    </row>
    <row r="27" spans="1:21" ht="14.25" customHeight="1">
      <c r="A27" s="45" t="str">
        <f>CONCATENATE(Productividad.[[#This Row],[DNI]],Productividad.[[#This Row],[Periodo]])</f>
        <v>4285853246143</v>
      </c>
      <c r="B27" s="47">
        <v>46143</v>
      </c>
      <c r="C27" s="27" t="s">
        <v>277</v>
      </c>
      <c r="D27" s="29" t="s">
        <v>278</v>
      </c>
      <c r="E27" s="29" t="s">
        <v>98</v>
      </c>
      <c r="F27" s="29" t="s">
        <v>154</v>
      </c>
      <c r="G27" s="29" t="s">
        <v>279</v>
      </c>
      <c r="H27" s="29" t="s">
        <v>184</v>
      </c>
      <c r="I27" s="30">
        <v>46143</v>
      </c>
      <c r="J27" s="29" t="s">
        <v>280</v>
      </c>
      <c r="K27" s="29">
        <v>900487742</v>
      </c>
      <c r="L27" s="29" t="s">
        <v>240</v>
      </c>
      <c r="M27" s="72" t="str">
        <f>Productividad.[[#This Row],[Ejecutivo]]</f>
        <v>Marlon Martinez</v>
      </c>
      <c r="N27" s="72" t="str">
        <f>Productividad.[[#This Row],[DNI]]</f>
        <v>42858532</v>
      </c>
      <c r="O27" s="73" t="str" cm="1">
        <f t="array" ref="O27">IFERROR(_xlfn.IFS(Productividad.[[#This Row],[Supervisor]]="Jonathan Lapoint","Norte",Productividad.[[#This Row],[Supervisor]]="Jorge Fuentes","Norte"),"Lima")</f>
        <v>Norte</v>
      </c>
      <c r="P27" s="45" t="str">
        <f>IFERROR(VLOOKUP(Productividad.[[#This Row],[DNI]],Ejecutivos.[],12,0),"Cesado")</f>
        <v>Activo</v>
      </c>
      <c r="Q27" s="73" t="str">
        <f>IFERROR(VLOOKUP(Productividad.[[#This Row],[DNI]],Ejecutivos.[],13,0),"Cesado")</f>
        <v>ND0035</v>
      </c>
      <c r="R27" s="73" t="str">
        <f>IFERROR(VLOOKUP(Productividad.[[#This Row],[DNI]],Ejecutivos.[],14,0),"Cesado")</f>
        <v>FALTA</v>
      </c>
      <c r="S27" s="73" t="str">
        <f>IFERROR(VLOOKUP(Productividad.[[#This Row],[DNI]],Ejecutivos.[],15,0),"Cesado")</f>
        <v>PN80236G30963</v>
      </c>
      <c r="T27" s="74"/>
      <c r="U27" s="74"/>
    </row>
    <row r="28" spans="1:21" ht="14.25" customHeight="1">
      <c r="A28" s="45" t="str">
        <f>CONCATENATE(Productividad.[[#This Row],[DNI]],Productividad.[[#This Row],[Periodo]])</f>
        <v>7187028646143</v>
      </c>
      <c r="B28" s="47">
        <v>46143</v>
      </c>
      <c r="C28" s="27" t="s">
        <v>283</v>
      </c>
      <c r="D28" s="28" t="s">
        <v>284</v>
      </c>
      <c r="E28" s="29" t="s">
        <v>98</v>
      </c>
      <c r="F28" s="29" t="s">
        <v>152</v>
      </c>
      <c r="G28" s="29" t="s">
        <v>285</v>
      </c>
      <c r="H28" s="29" t="s">
        <v>184</v>
      </c>
      <c r="I28" s="30">
        <v>46143</v>
      </c>
      <c r="J28" s="29" t="s">
        <v>286</v>
      </c>
      <c r="K28" s="29">
        <v>902361503</v>
      </c>
      <c r="L28" s="29" t="s">
        <v>240</v>
      </c>
      <c r="M28" s="72" t="str">
        <f>Productividad.[[#This Row],[Ejecutivo]]</f>
        <v>William Cortez</v>
      </c>
      <c r="N28" s="72" t="str">
        <f>Productividad.[[#This Row],[DNI]]</f>
        <v>71870286</v>
      </c>
      <c r="O28" s="73" t="str" cm="1">
        <f t="array" ref="O28">IFERROR(_xlfn.IFS(Productividad.[[#This Row],[Supervisor]]="Jonathan Lapoint","Norte",Productividad.[[#This Row],[Supervisor]]="Jorge Fuentes","Norte"),"Lima")</f>
        <v>Norte</v>
      </c>
      <c r="P28" s="45" t="str">
        <f>IFERROR(VLOOKUP(Productividad.[[#This Row],[DNI]],Ejecutivos.[],12,0),"Cesado")</f>
        <v>Activo</v>
      </c>
      <c r="Q28" s="73" t="str">
        <f>IFERROR(VLOOKUP(Productividad.[[#This Row],[DNI]],Ejecutivos.[],13,0),"Cesado")</f>
        <v>ND0038</v>
      </c>
      <c r="R28" s="73" t="str">
        <f>IFERROR(VLOOKUP(Productividad.[[#This Row],[DNI]],Ejecutivos.[],14,0),"Cesado")</f>
        <v>TR12941</v>
      </c>
      <c r="S28" s="73" t="str">
        <f>IFERROR(VLOOKUP(Productividad.[[#This Row],[DNI]],Ejecutivos.[],15,0),"Cesado")</f>
        <v>PN0621AU41433</v>
      </c>
      <c r="T28" s="74"/>
      <c r="U28" s="74"/>
    </row>
    <row r="29" spans="1:21" ht="14.25" customHeight="1">
      <c r="A29" s="45" t="str">
        <f>CONCATENATE(Productividad.[[#This Row],[DNI]],Productividad.[[#This Row],[Periodo]])</f>
        <v>7465189546143</v>
      </c>
      <c r="B29" s="71">
        <v>46143</v>
      </c>
      <c r="C29" s="70" t="s">
        <v>252</v>
      </c>
      <c r="D29" s="69" t="s">
        <v>253</v>
      </c>
      <c r="E29" s="29" t="s">
        <v>98</v>
      </c>
      <c r="F29" s="29" t="s">
        <v>154</v>
      </c>
      <c r="G29" s="29" t="s">
        <v>254</v>
      </c>
      <c r="H29" s="29" t="s">
        <v>184</v>
      </c>
      <c r="I29" s="30">
        <v>46143</v>
      </c>
      <c r="J29" s="29" t="s">
        <v>255</v>
      </c>
      <c r="K29" s="29">
        <v>998231125</v>
      </c>
      <c r="L29" s="29" t="s">
        <v>240</v>
      </c>
      <c r="M29" s="72" t="str">
        <f>Productividad.[[#This Row],[Ejecutivo]]</f>
        <v>Carlos Effio</v>
      </c>
      <c r="N29" s="72" t="str">
        <f>Productividad.[[#This Row],[DNI]]</f>
        <v>74651895</v>
      </c>
      <c r="O29" s="73" t="str" cm="1">
        <f t="array" ref="O29">IFERROR(_xlfn.IFS(Productividad.[[#This Row],[Supervisor]]="Jonathan Lapoint","Norte",Productividad.[[#This Row],[Supervisor]]="Jorge Fuentes","Norte"),"Lima")</f>
        <v>Norte</v>
      </c>
      <c r="P29" s="45" t="str">
        <f>IFERROR(VLOOKUP(Productividad.[[#This Row],[DNI]],Ejecutivos.[],12,0),"Cesado")</f>
        <v>Cesado</v>
      </c>
      <c r="Q29" s="73" t="str">
        <f>IFERROR(VLOOKUP(Productividad.[[#This Row],[DNI]],Ejecutivos.[],13,0),"Cesado")</f>
        <v>Cesado</v>
      </c>
      <c r="R29" s="73" t="str">
        <f>IFERROR(VLOOKUP(Productividad.[[#This Row],[DNI]],Ejecutivos.[],14,0),"Cesado")</f>
        <v>Cesado</v>
      </c>
      <c r="S29" s="73" t="str">
        <f>IFERROR(VLOOKUP(Productividad.[[#This Row],[DNI]],Ejecutivos.[],15,0),"Cesado")</f>
        <v>Cesado</v>
      </c>
      <c r="T29" s="74"/>
      <c r="U29" s="74"/>
    </row>
    <row r="30" spans="1:21" ht="14.25" customHeight="1">
      <c r="A30" s="45" t="str">
        <f>CONCATENATE(Productividad.[[#This Row],[DNI]],Productividad.[[#This Row],[Periodo]])</f>
        <v>7005986546143</v>
      </c>
      <c r="B30" s="48">
        <v>46143</v>
      </c>
      <c r="C30" s="22" t="s">
        <v>289</v>
      </c>
      <c r="D30" s="23" t="s">
        <v>42</v>
      </c>
      <c r="E30" s="24" t="s">
        <v>42</v>
      </c>
      <c r="F30" s="24" t="s">
        <v>21</v>
      </c>
      <c r="G30" s="24" t="s">
        <v>290</v>
      </c>
      <c r="H30" s="24" t="s">
        <v>21</v>
      </c>
      <c r="I30" s="25">
        <v>46143</v>
      </c>
      <c r="J30" s="24" t="s">
        <v>291</v>
      </c>
      <c r="K30" s="24">
        <v>995540265</v>
      </c>
      <c r="L30" s="24" t="s">
        <v>292</v>
      </c>
      <c r="M30" s="72" t="str">
        <f>Productividad.[[#This Row],[Ejecutivo]]</f>
        <v>Jorge Fuentes</v>
      </c>
      <c r="N30" s="72" t="str">
        <f>Productividad.[[#This Row],[DNI]]</f>
        <v>70059865</v>
      </c>
      <c r="O30" s="73" t="str" cm="1">
        <f t="array" ref="O30">IFERROR(_xlfn.IFS(Productividad.[[#This Row],[Supervisor]]="Jonathan Lapoint","Norte",Productividad.[[#This Row],[Supervisor]]="Jorge Fuentes","Norte"),"Lima")</f>
        <v>Norte</v>
      </c>
      <c r="P30" s="45" t="str">
        <f>IFERROR(VLOOKUP(Productividad.[[#This Row],[DNI]],Ejecutivos.[],12,0),"Cesado")</f>
        <v>Activo</v>
      </c>
      <c r="Q30" s="73" t="str">
        <f>IFERROR(VLOOKUP(Productividad.[[#This Row],[DNI]],Ejecutivos.[],13,0),"Cesado")</f>
        <v>SUPERVISOR</v>
      </c>
      <c r="R30" s="73" t="str">
        <f>IFERROR(VLOOKUP(Productividad.[[#This Row],[DNI]],Ejecutivos.[],14,0),"Cesado")</f>
        <v>TR12958</v>
      </c>
      <c r="S30" s="73" t="str">
        <f>IFERROR(VLOOKUP(Productividad.[[#This Row],[DNI]],Ejecutivos.[],15,0),"Cesado")</f>
        <v>SUPERVISOR</v>
      </c>
      <c r="T30" s="74"/>
      <c r="U30" s="74"/>
    </row>
    <row r="31" spans="1:21" ht="14.25" customHeight="1">
      <c r="A31" s="46" t="str">
        <f>CONCATENATE(Productividad.[[#This Row],[DNI]],Productividad.[[#This Row],[Periodo]])</f>
        <v>4704528746143</v>
      </c>
      <c r="B31" s="47">
        <v>46143</v>
      </c>
      <c r="C31" s="32" t="s">
        <v>294</v>
      </c>
      <c r="D31" s="33" t="s">
        <v>52</v>
      </c>
      <c r="E31" s="34" t="s">
        <v>42</v>
      </c>
      <c r="F31" s="34" t="s">
        <v>170</v>
      </c>
      <c r="G31" s="34" t="s">
        <v>295</v>
      </c>
      <c r="H31" s="34" t="s">
        <v>154</v>
      </c>
      <c r="I31" s="35">
        <v>46143</v>
      </c>
      <c r="J31" s="34" t="s">
        <v>296</v>
      </c>
      <c r="K31" s="34">
        <v>986274028</v>
      </c>
      <c r="L31" s="29" t="s">
        <v>292</v>
      </c>
      <c r="M31" s="72" t="str">
        <f>Productividad.[[#This Row],[Ejecutivo]]</f>
        <v>Antoni Sifuentes</v>
      </c>
      <c r="N31" s="72" t="str">
        <f>Productividad.[[#This Row],[DNI]]</f>
        <v>47045287</v>
      </c>
      <c r="O31" s="73" t="str" cm="1">
        <f t="array" ref="O31">IFERROR(_xlfn.IFS(Productividad.[[#This Row],[Supervisor]]="Jonathan Lapoint","Norte",Productividad.[[#This Row],[Supervisor]]="Jorge Fuentes","Norte"),"Lima")</f>
        <v>Norte</v>
      </c>
      <c r="P31" s="45" t="str">
        <f>IFERROR(VLOOKUP(Productividad.[[#This Row],[DNI]],Ejecutivos.[],12,0),"Cesado")</f>
        <v>Activo</v>
      </c>
      <c r="Q31" s="76" t="str">
        <f>IFERROR(VLOOKUP(Productividad.[[#This Row],[DNI]],Ejecutivos.[],13,0),"Cesado")</f>
        <v>ND0007</v>
      </c>
      <c r="R31" s="76" t="str">
        <f>IFERROR(VLOOKUP(Productividad.[[#This Row],[DNI]],Ejecutivos.[],14,0),"Cesado")</f>
        <v>TR12975</v>
      </c>
      <c r="S31" s="76" t="str">
        <f>IFERROR(VLOOKUP(Productividad.[[#This Row],[DNI]],Ejecutivos.[],15,0),"Cesado")</f>
        <v>PN80238431092</v>
      </c>
      <c r="T31" s="77"/>
      <c r="U31" s="77"/>
    </row>
    <row r="32" spans="1:21" ht="14.25" customHeight="1">
      <c r="A32" s="45" t="str">
        <f>CONCATENATE(Productividad.[[#This Row],[DNI]],Productividad.[[#This Row],[Periodo]])</f>
        <v>00240920846143</v>
      </c>
      <c r="B32" s="47">
        <v>46143</v>
      </c>
      <c r="C32" s="27" t="s">
        <v>299</v>
      </c>
      <c r="D32" s="28" t="s">
        <v>41</v>
      </c>
      <c r="E32" s="29" t="s">
        <v>42</v>
      </c>
      <c r="F32" s="29" t="s">
        <v>152</v>
      </c>
      <c r="G32" s="29" t="s">
        <v>43</v>
      </c>
      <c r="H32" s="29" t="s">
        <v>184</v>
      </c>
      <c r="I32" s="30">
        <v>46143</v>
      </c>
      <c r="J32" s="29" t="s">
        <v>300</v>
      </c>
      <c r="K32" s="29">
        <v>939986055</v>
      </c>
      <c r="L32" s="29" t="s">
        <v>292</v>
      </c>
      <c r="M32" s="72" t="str">
        <f>Productividad.[[#This Row],[Ejecutivo]]</f>
        <v>Jose Mujica</v>
      </c>
      <c r="N32" s="72" t="str">
        <f>Productividad.[[#This Row],[DNI]]</f>
        <v>002409208</v>
      </c>
      <c r="O32" s="73" t="str" cm="1">
        <f t="array" ref="O32">IFERROR(_xlfn.IFS(Productividad.[[#This Row],[Supervisor]]="Jonathan Lapoint","Norte",Productividad.[[#This Row],[Supervisor]]="Jorge Fuentes","Norte"),"Lima")</f>
        <v>Norte</v>
      </c>
      <c r="P32" s="45" t="str">
        <f>IFERROR(VLOOKUP(Productividad.[[#This Row],[DNI]],Ejecutivos.[],12,0),"Cesado")</f>
        <v>Activo</v>
      </c>
      <c r="Q32" s="73" t="str">
        <f>IFERROR(VLOOKUP(Productividad.[[#This Row],[DNI]],Ejecutivos.[],13,0),"Cesado")</f>
        <v>ND0026</v>
      </c>
      <c r="R32" s="73" t="str">
        <f>IFERROR(VLOOKUP(Productividad.[[#This Row],[DNI]],Ejecutivos.[],14,0),"Cesado")</f>
        <v>TR12966</v>
      </c>
      <c r="S32" s="73" t="str">
        <f>IFERROR(VLOOKUP(Productividad.[[#This Row],[DNI]],Ejecutivos.[],15,0),"Cesado")</f>
        <v>PN06216A21813</v>
      </c>
      <c r="T32" s="74"/>
      <c r="U32" s="74"/>
    </row>
    <row r="33" spans="1:21" ht="14.25" customHeight="1">
      <c r="A33" s="45" t="str">
        <f>CONCATENATE(Productividad.[[#This Row],[DNI]],Productividad.[[#This Row],[Periodo]])</f>
        <v>7747788346143</v>
      </c>
      <c r="B33" s="47">
        <v>46143</v>
      </c>
      <c r="C33" s="27" t="s">
        <v>306</v>
      </c>
      <c r="D33" s="28" t="s">
        <v>307</v>
      </c>
      <c r="E33" s="29" t="s">
        <v>42</v>
      </c>
      <c r="F33" s="29" t="s">
        <v>154</v>
      </c>
      <c r="G33" s="29" t="s">
        <v>308</v>
      </c>
      <c r="H33" s="29" t="s">
        <v>184</v>
      </c>
      <c r="I33" s="30">
        <v>46143</v>
      </c>
      <c r="J33" s="29" t="s">
        <v>309</v>
      </c>
      <c r="K33" s="29">
        <v>985000382</v>
      </c>
      <c r="L33" s="29" t="s">
        <v>292</v>
      </c>
      <c r="M33" s="72" t="str">
        <f>Productividad.[[#This Row],[Ejecutivo]]</f>
        <v>Junior Henriquez</v>
      </c>
      <c r="N33" s="72" t="str">
        <f>Productividad.[[#This Row],[DNI]]</f>
        <v>77477883</v>
      </c>
      <c r="O33" s="73" t="str" cm="1">
        <f t="array" ref="O33">IFERROR(_xlfn.IFS(Productividad.[[#This Row],[Supervisor]]="Jonathan Lapoint","Norte",Productividad.[[#This Row],[Supervisor]]="Jorge Fuentes","Norte"),"Lima")</f>
        <v>Norte</v>
      </c>
      <c r="P33" s="45" t="str">
        <f>IFERROR(VLOOKUP(Productividad.[[#This Row],[DNI]],Ejecutivos.[],12,0),"Cesado")</f>
        <v>Activo</v>
      </c>
      <c r="Q33" s="73" t="str">
        <f>IFERROR(VLOOKUP(Productividad.[[#This Row],[DNI]],Ejecutivos.[],13,0),"Cesado")</f>
        <v>ND0027</v>
      </c>
      <c r="R33" s="73" t="str">
        <f>IFERROR(VLOOKUP(Productividad.[[#This Row],[DNI]],Ejecutivos.[],14,0),"Cesado")</f>
        <v>TR12963</v>
      </c>
      <c r="S33" s="73" t="str">
        <f>IFERROR(VLOOKUP(Productividad.[[#This Row],[DNI]],Ejecutivos.[],15,0),"Cesado")</f>
        <v>PN04219J40073</v>
      </c>
      <c r="T33" s="74"/>
      <c r="U33" s="74"/>
    </row>
    <row r="34" spans="1:21" ht="14.25" customHeight="1">
      <c r="A34" s="45" t="str">
        <f>CONCATENATE(Productividad.[[#This Row],[DNI]],Productividad.[[#This Row],[Periodo]])</f>
        <v>7496115146143</v>
      </c>
      <c r="B34" s="47">
        <v>46143</v>
      </c>
      <c r="C34" s="27" t="s">
        <v>312</v>
      </c>
      <c r="D34" s="28" t="s">
        <v>313</v>
      </c>
      <c r="E34" s="29" t="s">
        <v>42</v>
      </c>
      <c r="F34" s="29" t="s">
        <v>154</v>
      </c>
      <c r="G34" s="29" t="s">
        <v>314</v>
      </c>
      <c r="H34" s="29" t="s">
        <v>184</v>
      </c>
      <c r="I34" s="30">
        <v>46143</v>
      </c>
      <c r="J34" s="29" t="s">
        <v>315</v>
      </c>
      <c r="K34" s="29">
        <v>944199990</v>
      </c>
      <c r="L34" s="29" t="s">
        <v>292</v>
      </c>
      <c r="M34" s="72" t="str">
        <f>Productividad.[[#This Row],[Ejecutivo]]</f>
        <v>Manuel Avalos</v>
      </c>
      <c r="N34" s="72" t="str">
        <f>Productividad.[[#This Row],[DNI]]</f>
        <v>74961151</v>
      </c>
      <c r="O34" s="73" t="str" cm="1">
        <f t="array" ref="O34">IFERROR(_xlfn.IFS(Productividad.[[#This Row],[Supervisor]]="Jonathan Lapoint","Norte",Productividad.[[#This Row],[Supervisor]]="Jorge Fuentes","Norte"),"Lima")</f>
        <v>Norte</v>
      </c>
      <c r="P34" s="45" t="str">
        <f>IFERROR(VLOOKUP(Productividad.[[#This Row],[DNI]],Ejecutivos.[],12,0),"Cesado")</f>
        <v>Activo</v>
      </c>
      <c r="Q34" s="73" t="str">
        <f>IFERROR(VLOOKUP(Productividad.[[#This Row],[DNI]],Ejecutivos.[],13,0),"Cesado")</f>
        <v>ND0028</v>
      </c>
      <c r="R34" s="73" t="str">
        <f>IFERROR(VLOOKUP(Productividad.[[#This Row],[DNI]],Ejecutivos.[],14,0),"Cesado")</f>
        <v>TR12964</v>
      </c>
      <c r="S34" s="73" t="str">
        <f>IFERROR(VLOOKUP(Productividad.[[#This Row],[DNI]],Ejecutivos.[],15,0),"Cesado")</f>
        <v>PN14229830242</v>
      </c>
      <c r="T34" s="74"/>
      <c r="U34" s="74"/>
    </row>
    <row r="35" spans="1:21" ht="14.25" customHeight="1">
      <c r="A35" s="45" t="str">
        <f>CONCATENATE(Productividad.[[#This Row],[DNI]],Productividad.[[#This Row],[Periodo]])</f>
        <v>7516746246143</v>
      </c>
      <c r="B35" s="47">
        <v>46143</v>
      </c>
      <c r="C35" s="27" t="s">
        <v>318</v>
      </c>
      <c r="D35" s="28" t="s">
        <v>319</v>
      </c>
      <c r="E35" s="29" t="s">
        <v>42</v>
      </c>
      <c r="F35" s="29" t="s">
        <v>154</v>
      </c>
      <c r="G35" s="29" t="s">
        <v>320</v>
      </c>
      <c r="H35" s="29" t="s">
        <v>184</v>
      </c>
      <c r="I35" s="30">
        <v>46143</v>
      </c>
      <c r="J35" s="29" t="s">
        <v>321</v>
      </c>
      <c r="K35" s="29">
        <v>950508800</v>
      </c>
      <c r="L35" s="29" t="s">
        <v>322</v>
      </c>
      <c r="M35" s="72" t="str">
        <f>Productividad.[[#This Row],[Ejecutivo]]</f>
        <v>Milagros Zuniga</v>
      </c>
      <c r="N35" s="72" t="str">
        <f>Productividad.[[#This Row],[DNI]]</f>
        <v>75167462</v>
      </c>
      <c r="O35" s="73" t="str" cm="1">
        <f t="array" ref="O35">IFERROR(_xlfn.IFS(Productividad.[[#This Row],[Supervisor]]="Jonathan Lapoint","Norte",Productividad.[[#This Row],[Supervisor]]="Jorge Fuentes","Norte"),"Lima")</f>
        <v>Norte</v>
      </c>
      <c r="P35" s="45" t="str">
        <f>IFERROR(VLOOKUP(Productividad.[[#This Row],[DNI]],Ejecutivos.[],12,0),"Cesado")</f>
        <v>Activo</v>
      </c>
      <c r="Q35" s="73" t="str">
        <f>IFERROR(VLOOKUP(Productividad.[[#This Row],[DNI]],Ejecutivos.[],13,0),"Cesado")</f>
        <v>ND0029</v>
      </c>
      <c r="R35" s="73" t="str">
        <f>IFERROR(VLOOKUP(Productividad.[[#This Row],[DNI]],Ejecutivos.[],14,0),"Cesado")</f>
        <v>TR12957</v>
      </c>
      <c r="S35" s="73" t="str">
        <f>IFERROR(VLOOKUP(Productividad.[[#This Row],[DNI]],Ejecutivos.[],15,0),"Cesado")</f>
        <v>PN14229630756</v>
      </c>
      <c r="T35" s="74"/>
      <c r="U35" s="74"/>
    </row>
    <row r="36" spans="1:21" ht="14.25" customHeight="1">
      <c r="A36" s="46" t="str">
        <f>CONCATENATE(Productividad.[[#This Row],[DNI]],Productividad.[[#This Row],[Periodo]])</f>
        <v>7080015246143</v>
      </c>
      <c r="B36" s="47">
        <v>46143</v>
      </c>
      <c r="C36" s="32" t="s">
        <v>325</v>
      </c>
      <c r="D36" s="33" t="s">
        <v>326</v>
      </c>
      <c r="E36" s="34" t="s">
        <v>42</v>
      </c>
      <c r="F36" s="34" t="s">
        <v>154</v>
      </c>
      <c r="G36" s="34" t="s">
        <v>327</v>
      </c>
      <c r="H36" s="34" t="s">
        <v>184</v>
      </c>
      <c r="I36" s="35">
        <v>46143</v>
      </c>
      <c r="J36" s="34" t="s">
        <v>328</v>
      </c>
      <c r="K36" s="34">
        <v>967238595</v>
      </c>
      <c r="L36" s="29" t="s">
        <v>292</v>
      </c>
      <c r="M36" s="72" t="str">
        <f>Productividad.[[#This Row],[Ejecutivo]]</f>
        <v>Nelson Deza</v>
      </c>
      <c r="N36" s="72" t="str">
        <f>Productividad.[[#This Row],[DNI]]</f>
        <v>70800152</v>
      </c>
      <c r="O36" s="73" t="str" cm="1">
        <f t="array" ref="O36">IFERROR(_xlfn.IFS(Productividad.[[#This Row],[Supervisor]]="Jonathan Lapoint","Norte",Productividad.[[#This Row],[Supervisor]]="Jorge Fuentes","Norte"),"Lima")</f>
        <v>Norte</v>
      </c>
      <c r="P36" s="45" t="str">
        <f>IFERROR(VLOOKUP(Productividad.[[#This Row],[DNI]],Ejecutivos.[],12,0),"Cesado")</f>
        <v>Activo</v>
      </c>
      <c r="Q36" s="76" t="str">
        <f>IFERROR(VLOOKUP(Productividad.[[#This Row],[DNI]],Ejecutivos.[],13,0),"Cesado")</f>
        <v>ND0030</v>
      </c>
      <c r="R36" s="76" t="str">
        <f>IFERROR(VLOOKUP(Productividad.[[#This Row],[DNI]],Ejecutivos.[],14,0),"Cesado")</f>
        <v>TR12962</v>
      </c>
      <c r="S36" s="76" t="str">
        <f>IFERROR(VLOOKUP(Productividad.[[#This Row],[DNI]],Ejecutivos.[],15,0),"Cesado")</f>
        <v>PN14229730793</v>
      </c>
      <c r="T36" s="77"/>
      <c r="U36" s="77"/>
    </row>
    <row r="37" spans="1:21" ht="14.25" customHeight="1">
      <c r="A37" s="45" t="str">
        <f>CONCATENATE(Productividad.[[#This Row],[DNI]],Productividad.[[#This Row],[Periodo]])</f>
        <v>4552479446143</v>
      </c>
      <c r="B37" s="71">
        <v>46143</v>
      </c>
      <c r="C37" s="70" t="s">
        <v>302</v>
      </c>
      <c r="D37" s="69" t="s">
        <v>303</v>
      </c>
      <c r="E37" s="29" t="s">
        <v>42</v>
      </c>
      <c r="F37" s="29" t="s">
        <v>154</v>
      </c>
      <c r="G37" s="29" t="s">
        <v>304</v>
      </c>
      <c r="H37" s="29" t="s">
        <v>184</v>
      </c>
      <c r="I37" s="30">
        <v>46143</v>
      </c>
      <c r="J37" s="29" t="s">
        <v>305</v>
      </c>
      <c r="K37" s="29">
        <v>982734757</v>
      </c>
      <c r="L37" s="29" t="s">
        <v>292</v>
      </c>
      <c r="M37" s="72" t="str">
        <f>Productividad.[[#This Row],[Ejecutivo]]</f>
        <v>Jose Ruiz</v>
      </c>
      <c r="N37" s="72" t="str">
        <f>Productividad.[[#This Row],[DNI]]</f>
        <v>45524794</v>
      </c>
      <c r="O37" s="73" t="str" cm="1">
        <f t="array" ref="O37">IFERROR(_xlfn.IFS(Productividad.[[#This Row],[Supervisor]]="Jonathan Lapoint","Norte",Productividad.[[#This Row],[Supervisor]]="Jorge Fuentes","Norte"),"Lima")</f>
        <v>Norte</v>
      </c>
      <c r="P37" s="45" t="str">
        <f>IFERROR(VLOOKUP(Productividad.[[#This Row],[DNI]],Ejecutivos.[],12,0),"Cesado")</f>
        <v>Cesado</v>
      </c>
      <c r="Q37" s="73" t="str">
        <f>IFERROR(VLOOKUP(Productividad.[[#This Row],[DNI]],Ejecutivos.[],13,0),"Cesado")</f>
        <v>Cesado</v>
      </c>
      <c r="R37" s="73" t="str">
        <f>IFERROR(VLOOKUP(Productividad.[[#This Row],[DNI]],Ejecutivos.[],14,0),"Cesado")</f>
        <v>Cesado</v>
      </c>
      <c r="S37" s="73" t="str">
        <f>IFERROR(VLOOKUP(Productividad.[[#This Row],[DNI]],Ejecutivos.[],15,0),"Cesado")</f>
        <v>Cesado</v>
      </c>
      <c r="T37" s="74"/>
      <c r="U37" s="74"/>
    </row>
    <row r="38" spans="1:21" ht="14.25" customHeight="1">
      <c r="A38" s="45" t="str">
        <f>CONCATENATE(Productividad.[[#This Row],[DNI]],Productividad.[[#This Row],[Periodo]])</f>
        <v>4171897546174</v>
      </c>
      <c r="B38" s="48">
        <v>46174</v>
      </c>
      <c r="C38" s="22" t="s">
        <v>144</v>
      </c>
      <c r="D38" s="23" t="s">
        <v>35</v>
      </c>
      <c r="E38" s="24" t="s">
        <v>35</v>
      </c>
      <c r="F38" s="24" t="s">
        <v>21</v>
      </c>
      <c r="G38" s="24" t="s">
        <v>145</v>
      </c>
      <c r="H38" s="24" t="s">
        <v>21</v>
      </c>
      <c r="I38" s="25">
        <v>46143</v>
      </c>
      <c r="J38" s="24" t="s">
        <v>146</v>
      </c>
      <c r="K38" s="24">
        <v>941341890</v>
      </c>
      <c r="L38" s="24" t="s">
        <v>122</v>
      </c>
      <c r="M38" s="72" t="str">
        <f>Productividad.[[#This Row],[Ejecutivo]]</f>
        <v>Carlos Palomino</v>
      </c>
      <c r="N38" s="72" t="str">
        <f>Productividad.[[#This Row],[DNI]]</f>
        <v>41718975</v>
      </c>
      <c r="O38" s="45" t="str" cm="1">
        <f t="array" ref="O38">IFERROR(_xlfn.IFS(Productividad.[[#This Row],[Supervisor]]="Jonathan Lapoint","Norte",Productividad.[[#This Row],[Supervisor]]="Jorge Fuentes","Norte"),"Lima")</f>
        <v>Lima</v>
      </c>
      <c r="P38" s="45" t="str">
        <f>IFERROR(VLOOKUP(Productividad.[[#This Row],[DNI]],Ejecutivos.[],12,0),"Cesado")</f>
        <v>Activo</v>
      </c>
      <c r="Q38" s="45" t="str">
        <f>IFERROR(VLOOKUP(Productividad.[[#This Row],[DNI]],Ejecutivos.[],13,0),"Cesado")</f>
        <v>SUPERVISOR</v>
      </c>
      <c r="R38" s="45" t="str">
        <f>IFERROR(VLOOKUP(Productividad.[[#This Row],[DNI]],Ejecutivos.[],14,0),"Cesado")</f>
        <v>TR12951</v>
      </c>
      <c r="S38" s="45" t="str">
        <f>IFERROR(VLOOKUP(Productividad.[[#This Row],[DNI]],Ejecutivos.[],15,0),"Cesado")</f>
        <v>SUPERVISOR</v>
      </c>
      <c r="T38" s="74"/>
      <c r="U38" s="74"/>
    </row>
    <row r="39" spans="1:21" ht="14.25" customHeight="1">
      <c r="A39" s="45" t="str">
        <f>CONCATENATE(Productividad.[[#This Row],[DNI]],Productividad.[[#This Row],[Periodo]])</f>
        <v>0792540346174</v>
      </c>
      <c r="B39" s="47">
        <v>46174</v>
      </c>
      <c r="C39" s="32" t="s">
        <v>931</v>
      </c>
      <c r="D39" s="33" t="s">
        <v>940</v>
      </c>
      <c r="E39" s="34" t="s">
        <v>35</v>
      </c>
      <c r="F39" s="34" t="s">
        <v>154</v>
      </c>
      <c r="G39" s="93" t="s">
        <v>936</v>
      </c>
      <c r="H39" s="29" t="s">
        <v>184</v>
      </c>
      <c r="I39" s="35">
        <v>46188</v>
      </c>
      <c r="J39" s="93" t="s">
        <v>946</v>
      </c>
      <c r="K39" s="93">
        <v>951951626</v>
      </c>
      <c r="L39" s="29" t="s">
        <v>122</v>
      </c>
      <c r="M39" s="72" t="str">
        <f>Productividad.[[#This Row],[Ejecutivo]]</f>
        <v>Carlos Tahua</v>
      </c>
      <c r="N39" s="72" t="str">
        <f>Productividad.[[#This Row],[DNI]]</f>
        <v>07925403</v>
      </c>
      <c r="O39" s="45" t="str" cm="1">
        <f t="array" ref="O39">IFERROR(_xlfn.IFS(Productividad.[[#This Row],[Supervisor]]="Jonathan Lapoint","Norte",Productividad.[[#This Row],[Supervisor]]="Jorge Fuentes","Norte"),"Lima")</f>
        <v>Lima</v>
      </c>
      <c r="P39" s="45" t="str">
        <f>IFERROR(VLOOKUP(Productividad.[[#This Row],[DNI]],Ejecutivos.[],12,0),"Cesado")</f>
        <v>Activo</v>
      </c>
      <c r="Q39" s="45" t="str">
        <f>IFERROR(VLOOKUP(Productividad.[[#This Row],[DNI]],Ejecutivos.[],13,0),"Cesado")</f>
        <v>FALTA</v>
      </c>
      <c r="R39" s="45" t="str">
        <f>IFERROR(VLOOKUP(Productividad.[[#This Row],[DNI]],Ejecutivos.[],14,0),"Cesado")</f>
        <v>FALTA</v>
      </c>
      <c r="S39" s="45" t="str">
        <f>IFERROR(VLOOKUP(Productividad.[[#This Row],[DNI]],Ejecutivos.[],15,0),"Cesado")</f>
        <v>FALTA</v>
      </c>
      <c r="T39" s="74"/>
      <c r="U39" s="74"/>
    </row>
    <row r="40" spans="1:21" ht="14.25" customHeight="1">
      <c r="A40" s="45" t="str">
        <f>CONCATENATE(Productividad.[[#This Row],[DNI]],Productividad.[[#This Row],[Periodo]])</f>
        <v>7652400646174</v>
      </c>
      <c r="B40" s="47">
        <v>46174</v>
      </c>
      <c r="C40" s="27" t="s">
        <v>158</v>
      </c>
      <c r="D40" s="28" t="s">
        <v>159</v>
      </c>
      <c r="E40" s="29" t="s">
        <v>35</v>
      </c>
      <c r="F40" s="29" t="s">
        <v>152</v>
      </c>
      <c r="G40" s="29" t="s">
        <v>160</v>
      </c>
      <c r="H40" s="29" t="s">
        <v>154</v>
      </c>
      <c r="I40" s="30">
        <v>46143</v>
      </c>
      <c r="J40" s="29" t="s">
        <v>161</v>
      </c>
      <c r="K40" s="29">
        <v>927150861</v>
      </c>
      <c r="L40" s="29" t="s">
        <v>122</v>
      </c>
      <c r="M40" s="72" t="str">
        <f>Productividad.[[#This Row],[Ejecutivo]]</f>
        <v>Jorge Jaimes</v>
      </c>
      <c r="N40" s="72" t="str">
        <f>Productividad.[[#This Row],[DNI]]</f>
        <v>76524006</v>
      </c>
      <c r="O40" s="45" t="str" cm="1">
        <f t="array" ref="O40">IFERROR(_xlfn.IFS(Productividad.[[#This Row],[Supervisor]]="Jonathan Lapoint","Norte",Productividad.[[#This Row],[Supervisor]]="Jorge Fuentes","Norte"),"Lima")</f>
        <v>Lima</v>
      </c>
      <c r="P40" s="45" t="str">
        <f>IFERROR(VLOOKUP(Productividad.[[#This Row],[DNI]],Ejecutivos.[],12,0),"Cesado")</f>
        <v>Activo</v>
      </c>
      <c r="Q40" s="45" t="str">
        <f>IFERROR(VLOOKUP(Productividad.[[#This Row],[DNI]],Ejecutivos.[],13,0),"Cesado")</f>
        <v>ND0019</v>
      </c>
      <c r="R40" s="45" t="str">
        <f>IFERROR(VLOOKUP(Productividad.[[#This Row],[DNI]],Ejecutivos.[],14,0),"Cesado")</f>
        <v>TR12972</v>
      </c>
      <c r="S40" s="45" t="str">
        <f>IFERROR(VLOOKUP(Productividad.[[#This Row],[DNI]],Ejecutivos.[],15,0),"Cesado")</f>
        <v>PN80238F30250</v>
      </c>
      <c r="T40" s="74"/>
      <c r="U40" s="74"/>
    </row>
    <row r="41" spans="1:21" ht="14.25" customHeight="1">
      <c r="A41" s="45" t="str">
        <f>CONCATENATE(Productividad.[[#This Row],[DNI]],Productividad.[[#This Row],[Periodo]])</f>
        <v>4699825046174</v>
      </c>
      <c r="B41" s="47">
        <v>46174</v>
      </c>
      <c r="C41" s="27" t="s">
        <v>173</v>
      </c>
      <c r="D41" s="28" t="s">
        <v>80</v>
      </c>
      <c r="E41" s="29" t="s">
        <v>35</v>
      </c>
      <c r="F41" s="29" t="s">
        <v>170</v>
      </c>
      <c r="G41" s="29" t="s">
        <v>81</v>
      </c>
      <c r="H41" s="29" t="s">
        <v>154</v>
      </c>
      <c r="I41" s="30">
        <v>46143</v>
      </c>
      <c r="J41" s="29" t="s">
        <v>174</v>
      </c>
      <c r="K41" s="29">
        <v>972726333</v>
      </c>
      <c r="L41" s="29" t="s">
        <v>122</v>
      </c>
      <c r="M41" s="72" t="str">
        <f>Productividad.[[#This Row],[Ejecutivo]]</f>
        <v>Maria Godoy</v>
      </c>
      <c r="N41" s="72" t="str">
        <f>Productividad.[[#This Row],[DNI]]</f>
        <v>46998250</v>
      </c>
      <c r="O41" s="45" t="str" cm="1">
        <f t="array" ref="O41">IFERROR(_xlfn.IFS(Productividad.[[#This Row],[Supervisor]]="Jonathan Lapoint","Norte",Productividad.[[#This Row],[Supervisor]]="Jorge Fuentes","Norte"),"Lima")</f>
        <v>Lima</v>
      </c>
      <c r="P41" s="45" t="str">
        <f>IFERROR(VLOOKUP(Productividad.[[#This Row],[DNI]],Ejecutivos.[],12,0),"Cesado")</f>
        <v>Activo</v>
      </c>
      <c r="Q41" s="45" t="str">
        <f>IFERROR(VLOOKUP(Productividad.[[#This Row],[DNI]],Ejecutivos.[],13,0),"Cesado")</f>
        <v>ND0002</v>
      </c>
      <c r="R41" s="45" t="str">
        <f>IFERROR(VLOOKUP(Productividad.[[#This Row],[DNI]],Ejecutivos.[],14,0),"Cesado")</f>
        <v>TR12969</v>
      </c>
      <c r="S41" s="45" t="str">
        <f>IFERROR(VLOOKUP(Productividad.[[#This Row],[DNI]],Ejecutivos.[],15,0),"Cesado")</f>
        <v>PN06214M20767</v>
      </c>
      <c r="T41" s="74"/>
      <c r="U41" s="74"/>
    </row>
    <row r="42" spans="1:21" ht="14.25" customHeight="1">
      <c r="A42" s="45" t="str">
        <f>CONCATENATE(Productividad.[[#This Row],[DNI]],Productividad.[[#This Row],[Periodo]])</f>
        <v>4366139146174</v>
      </c>
      <c r="B42" s="47">
        <v>46174</v>
      </c>
      <c r="C42" s="27" t="s">
        <v>177</v>
      </c>
      <c r="D42" s="28" t="s">
        <v>34</v>
      </c>
      <c r="E42" s="29" t="s">
        <v>35</v>
      </c>
      <c r="F42" s="29" t="s">
        <v>170</v>
      </c>
      <c r="G42" s="29" t="s">
        <v>36</v>
      </c>
      <c r="H42" s="29" t="s">
        <v>154</v>
      </c>
      <c r="I42" s="30">
        <v>46143</v>
      </c>
      <c r="J42" s="29" t="s">
        <v>178</v>
      </c>
      <c r="K42" s="29">
        <v>907494902</v>
      </c>
      <c r="L42" s="29" t="s">
        <v>122</v>
      </c>
      <c r="M42" s="72" t="str">
        <f>Productividad.[[#This Row],[Ejecutivo]]</f>
        <v>Milagros Rocha</v>
      </c>
      <c r="N42" s="72" t="str">
        <f>Productividad.[[#This Row],[DNI]]</f>
        <v>43661391</v>
      </c>
      <c r="O42" s="45" t="str" cm="1">
        <f t="array" ref="O42">IFERROR(_xlfn.IFS(Productividad.[[#This Row],[Supervisor]]="Jonathan Lapoint","Norte",Productividad.[[#This Row],[Supervisor]]="Jorge Fuentes","Norte"),"Lima")</f>
        <v>Lima</v>
      </c>
      <c r="P42" s="45" t="str">
        <f>IFERROR(VLOOKUP(Productividad.[[#This Row],[DNI]],Ejecutivos.[],12,0),"Cesado")</f>
        <v>Activo</v>
      </c>
      <c r="Q42" s="45" t="str">
        <f>IFERROR(VLOOKUP(Productividad.[[#This Row],[DNI]],Ejecutivos.[],13,0),"Cesado")</f>
        <v>ND0003</v>
      </c>
      <c r="R42" s="45" t="str">
        <f>IFERROR(VLOOKUP(Productividad.[[#This Row],[DNI]],Ejecutivos.[],14,0),"Cesado")</f>
        <v>TR12971</v>
      </c>
      <c r="S42" s="45" t="str">
        <f>IFERROR(VLOOKUP(Productividad.[[#This Row],[DNI]],Ejecutivos.[],15,0),"Cesado")</f>
        <v>PN14225941954</v>
      </c>
      <c r="T42" s="74"/>
      <c r="U42" s="74"/>
    </row>
    <row r="43" spans="1:21" ht="14.25" customHeight="1">
      <c r="A43" s="45" t="str">
        <f>CONCATENATE(Productividad.[[#This Row],[DNI]],Productividad.[[#This Row],[Periodo]])</f>
        <v>4141965146174</v>
      </c>
      <c r="B43" s="47">
        <v>46174</v>
      </c>
      <c r="C43" s="27" t="s">
        <v>150</v>
      </c>
      <c r="D43" s="69" t="s">
        <v>151</v>
      </c>
      <c r="E43" s="29" t="s">
        <v>35</v>
      </c>
      <c r="F43" s="29" t="s">
        <v>152</v>
      </c>
      <c r="G43" s="29" t="s">
        <v>153</v>
      </c>
      <c r="H43" s="29" t="s">
        <v>154</v>
      </c>
      <c r="I43" s="30">
        <v>46143</v>
      </c>
      <c r="J43" s="29" t="s">
        <v>155</v>
      </c>
      <c r="K43" s="29">
        <v>981463333</v>
      </c>
      <c r="L43" s="29" t="s">
        <v>122</v>
      </c>
      <c r="M43" s="72" t="str">
        <f>Productividad.[[#This Row],[Ejecutivo]]</f>
        <v>Giuliana Hereña</v>
      </c>
      <c r="N43" s="72" t="str">
        <f>Productividad.[[#This Row],[DNI]]</f>
        <v>41419651</v>
      </c>
      <c r="O43" s="45" t="str" cm="1">
        <f t="array" ref="O43">IFERROR(_xlfn.IFS(Productividad.[[#This Row],[Supervisor]]="Jonathan Lapoint","Norte",Productividad.[[#This Row],[Supervisor]]="Jorge Fuentes","Norte"),"Lima")</f>
        <v>Lima</v>
      </c>
      <c r="P43" s="45" t="str">
        <f>IFERROR(VLOOKUP(Productividad.[[#This Row],[DNI]],Ejecutivos.[],12,0),"Cesado")</f>
        <v>Cesado</v>
      </c>
      <c r="Q43" s="45" t="str">
        <f>IFERROR(VLOOKUP(Productividad.[[#This Row],[DNI]],Ejecutivos.[],13,0),"Cesado")</f>
        <v>ND0011</v>
      </c>
      <c r="R43" s="45" t="str">
        <f>IFERROR(VLOOKUP(Productividad.[[#This Row],[DNI]],Ejecutivos.[],14,0),"Cesado")</f>
        <v>CESADO</v>
      </c>
      <c r="S43" s="45" t="str">
        <f>IFERROR(VLOOKUP(Productividad.[[#This Row],[DNI]],Ejecutivos.[],15,0),"Cesado")</f>
        <v>PN0621BP40668</v>
      </c>
      <c r="T43" s="74"/>
      <c r="U43" s="74"/>
    </row>
    <row r="44" spans="1:21" ht="14.25" customHeight="1">
      <c r="A44" s="45" t="str">
        <f>CONCATENATE(Productividad.[[#This Row],[DNI]],Productividad.[[#This Row],[Periodo]])</f>
        <v>7289576246174</v>
      </c>
      <c r="B44" s="47">
        <v>46174</v>
      </c>
      <c r="C44" s="27" t="s">
        <v>164</v>
      </c>
      <c r="D44" s="69" t="s">
        <v>103</v>
      </c>
      <c r="E44" s="29" t="s">
        <v>35</v>
      </c>
      <c r="F44" s="29" t="s">
        <v>152</v>
      </c>
      <c r="G44" s="29" t="s">
        <v>104</v>
      </c>
      <c r="H44" s="29" t="s">
        <v>154</v>
      </c>
      <c r="I44" s="30">
        <v>46143</v>
      </c>
      <c r="J44" s="29" t="s">
        <v>165</v>
      </c>
      <c r="K44" s="29">
        <v>927254247</v>
      </c>
      <c r="L44" s="29" t="s">
        <v>122</v>
      </c>
      <c r="M44" s="72" t="str">
        <f>Productividad.[[#This Row],[Ejecutivo]]</f>
        <v>Leonardo Torres</v>
      </c>
      <c r="N44" s="72" t="str">
        <f>Productividad.[[#This Row],[DNI]]</f>
        <v>72895762</v>
      </c>
      <c r="O44" s="45" t="str" cm="1">
        <f t="array" ref="O44">IFERROR(_xlfn.IFS(Productividad.[[#This Row],[Supervisor]]="Jonathan Lapoint","Norte",Productividad.[[#This Row],[Supervisor]]="Jorge Fuentes","Norte"),"Lima")</f>
        <v>Lima</v>
      </c>
      <c r="P44" s="45" t="str">
        <f>IFERROR(VLOOKUP(Productividad.[[#This Row],[DNI]],Ejecutivos.[],12,0),"Cesado")</f>
        <v>Cesado</v>
      </c>
      <c r="Q44" s="45" t="str">
        <f>IFERROR(VLOOKUP(Productividad.[[#This Row],[DNI]],Ejecutivos.[],13,0),"Cesado")</f>
        <v>ND0001</v>
      </c>
      <c r="R44" s="45" t="str">
        <f>IFERROR(VLOOKUP(Productividad.[[#This Row],[DNI]],Ejecutivos.[],14,0),"Cesado")</f>
        <v>CESADO</v>
      </c>
      <c r="S44" s="45" t="str">
        <f>IFERROR(VLOOKUP(Productividad.[[#This Row],[DNI]],Ejecutivos.[],15,0),"Cesado")</f>
        <v>PN0421BJ41076</v>
      </c>
      <c r="T44" s="74"/>
      <c r="U44" s="74"/>
    </row>
    <row r="45" spans="1:21" ht="14.25" customHeight="1">
      <c r="A45" s="45" t="str">
        <f>CONCATENATE(Productividad.[[#This Row],[DNI]],Productividad.[[#This Row],[Periodo]])</f>
        <v>0869454146174</v>
      </c>
      <c r="B45" s="47">
        <v>46174</v>
      </c>
      <c r="C45" s="27" t="s">
        <v>181</v>
      </c>
      <c r="D45" s="69" t="s">
        <v>182</v>
      </c>
      <c r="E45" s="29" t="s">
        <v>35</v>
      </c>
      <c r="F45" s="29" t="s">
        <v>152</v>
      </c>
      <c r="G45" s="29" t="s">
        <v>183</v>
      </c>
      <c r="H45" s="29" t="s">
        <v>184</v>
      </c>
      <c r="I45" s="30">
        <v>46143</v>
      </c>
      <c r="J45" s="29" t="s">
        <v>185</v>
      </c>
      <c r="K45" s="29">
        <v>937734210</v>
      </c>
      <c r="L45" s="29" t="s">
        <v>122</v>
      </c>
      <c r="M45" s="72" t="str">
        <f>Productividad.[[#This Row],[Ejecutivo]]</f>
        <v>Rildo Mendoza</v>
      </c>
      <c r="N45" s="72" t="str">
        <f>Productividad.[[#This Row],[DNI]]</f>
        <v>08694541</v>
      </c>
      <c r="O45" s="45" t="str" cm="1">
        <f t="array" ref="O45">IFERROR(_xlfn.IFS(Productividad.[[#This Row],[Supervisor]]="Jonathan Lapoint","Norte",Productividad.[[#This Row],[Supervisor]]="Jorge Fuentes","Norte"),"Lima")</f>
        <v>Lima</v>
      </c>
      <c r="P45" s="45" t="str">
        <f>IFERROR(VLOOKUP(Productividad.[[#This Row],[DNI]],Ejecutivos.[],12,0),"Cesado")</f>
        <v>Cesado</v>
      </c>
      <c r="Q45" s="45" t="str">
        <f>IFERROR(VLOOKUP(Productividad.[[#This Row],[DNI]],Ejecutivos.[],13,0),"Cesado")</f>
        <v>ND0040</v>
      </c>
      <c r="R45" s="45" t="str">
        <f>IFERROR(VLOOKUP(Productividad.[[#This Row],[DNI]],Ejecutivos.[],14,0),"Cesado")</f>
        <v>CESADO</v>
      </c>
      <c r="S45" s="45" t="str">
        <f>IFERROR(VLOOKUP(Productividad.[[#This Row],[DNI]],Ejecutivos.[],15,0),"Cesado")</f>
        <v>PN80239930621</v>
      </c>
      <c r="T45" s="74"/>
      <c r="U45" s="74"/>
    </row>
    <row r="46" spans="1:21" ht="14.25" customHeight="1">
      <c r="A46" s="45" t="str">
        <f>CONCATENATE(Productividad.[[#This Row],[DNI]],Productividad.[[#This Row],[Periodo]])</f>
        <v>4046316946174</v>
      </c>
      <c r="B46" s="47">
        <v>46174</v>
      </c>
      <c r="C46" s="32" t="s">
        <v>188</v>
      </c>
      <c r="D46" s="79" t="s">
        <v>189</v>
      </c>
      <c r="E46" s="34" t="s">
        <v>35</v>
      </c>
      <c r="F46" s="34" t="s">
        <v>152</v>
      </c>
      <c r="G46" s="34" t="s">
        <v>190</v>
      </c>
      <c r="H46" s="34" t="s">
        <v>184</v>
      </c>
      <c r="I46" s="35">
        <v>46143</v>
      </c>
      <c r="J46" s="34" t="s">
        <v>191</v>
      </c>
      <c r="K46" s="34">
        <v>942727743</v>
      </c>
      <c r="L46" s="34" t="s">
        <v>122</v>
      </c>
      <c r="M46" s="72" t="str">
        <f>Productividad.[[#This Row],[Ejecutivo]]</f>
        <v>Yessica Ruiz</v>
      </c>
      <c r="N46" s="72" t="str">
        <f>Productividad.[[#This Row],[DNI]]</f>
        <v>40463169</v>
      </c>
      <c r="O46" s="45" t="str" cm="1">
        <f t="array" ref="O46">IFERROR(_xlfn.IFS(Productividad.[[#This Row],[Supervisor]]="Jonathan Lapoint","Norte",Productividad.[[#This Row],[Supervisor]]="Jorge Fuentes","Norte"),"Lima")</f>
        <v>Lima</v>
      </c>
      <c r="P46" s="45" t="str">
        <f>IFERROR(VLOOKUP(Productividad.[[#This Row],[DNI]],Ejecutivos.[],12,0),"Cesado")</f>
        <v>Cesado</v>
      </c>
      <c r="Q46" s="45" t="str">
        <f>IFERROR(VLOOKUP(Productividad.[[#This Row],[DNI]],Ejecutivos.[],13,0),"Cesado")</f>
        <v>ND0014</v>
      </c>
      <c r="R46" s="45" t="str">
        <f>IFERROR(VLOOKUP(Productividad.[[#This Row],[DNI]],Ejecutivos.[],14,0),"Cesado")</f>
        <v>CESADO</v>
      </c>
      <c r="S46" s="45" t="str">
        <f>IFERROR(VLOOKUP(Productividad.[[#This Row],[DNI]],Ejecutivos.[],15,0),"Cesado")</f>
        <v>PN80239E30053</v>
      </c>
      <c r="T46" s="74"/>
      <c r="U46" s="74"/>
    </row>
    <row r="47" spans="1:21" ht="14.25" customHeight="1">
      <c r="A47" s="45" t="str">
        <f>CONCATENATE(Productividad.[[#This Row],[DNI]],Productividad.[[#This Row],[Periodo]])</f>
        <v>4481820046174</v>
      </c>
      <c r="B47" s="47">
        <v>46174</v>
      </c>
      <c r="C47" s="22" t="s">
        <v>194</v>
      </c>
      <c r="D47" s="23" t="s">
        <v>48</v>
      </c>
      <c r="E47" s="24" t="s">
        <v>48</v>
      </c>
      <c r="F47" s="24" t="s">
        <v>21</v>
      </c>
      <c r="G47" s="24" t="s">
        <v>195</v>
      </c>
      <c r="H47" s="24" t="s">
        <v>21</v>
      </c>
      <c r="I47" s="25">
        <v>46143</v>
      </c>
      <c r="J47" s="24" t="s">
        <v>196</v>
      </c>
      <c r="K47" s="24">
        <v>940975389</v>
      </c>
      <c r="L47" s="24" t="s">
        <v>122</v>
      </c>
      <c r="M47" s="72" t="str">
        <f>Productividad.[[#This Row],[Ejecutivo]]</f>
        <v>Hamm Ramirez</v>
      </c>
      <c r="N47" s="72" t="str">
        <f>Productividad.[[#This Row],[DNI]]</f>
        <v>44818200</v>
      </c>
      <c r="O47" s="45" t="str" cm="1">
        <f t="array" ref="O47">IFERROR(_xlfn.IFS(Productividad.[[#This Row],[Supervisor]]="Jonathan Lapoint","Norte",Productividad.[[#This Row],[Supervisor]]="Jorge Fuentes","Norte"),"Lima")</f>
        <v>Lima</v>
      </c>
      <c r="P47" s="45" t="str">
        <f>IFERROR(VLOOKUP(Productividad.[[#This Row],[DNI]],Ejecutivos.[],12,0),"Cesado")</f>
        <v>Activo</v>
      </c>
      <c r="Q47" s="45" t="str">
        <f>IFERROR(VLOOKUP(Productividad.[[#This Row],[DNI]],Ejecutivos.[],13,0),"Cesado")</f>
        <v>SUPERVISOR</v>
      </c>
      <c r="R47" s="45" t="str">
        <f>IFERROR(VLOOKUP(Productividad.[[#This Row],[DNI]],Ejecutivos.[],14,0),"Cesado")</f>
        <v>TR12959</v>
      </c>
      <c r="S47" s="45" t="str">
        <f>IFERROR(VLOOKUP(Productividad.[[#This Row],[DNI]],Ejecutivos.[],15,0),"Cesado")</f>
        <v>SUPERVISOR</v>
      </c>
      <c r="T47" s="74"/>
      <c r="U47" s="74"/>
    </row>
    <row r="48" spans="1:21" ht="14.25" customHeight="1">
      <c r="A48" s="45" t="str">
        <f>CONCATENATE(Productividad.[[#This Row],[DNI]],Productividad.[[#This Row],[Periodo]])</f>
        <v>4488101946174</v>
      </c>
      <c r="B48" s="47">
        <v>46174</v>
      </c>
      <c r="C48" s="27" t="s">
        <v>198</v>
      </c>
      <c r="D48" s="29" t="s">
        <v>47</v>
      </c>
      <c r="E48" s="29" t="s">
        <v>48</v>
      </c>
      <c r="F48" s="29" t="s">
        <v>152</v>
      </c>
      <c r="G48" s="29" t="s">
        <v>49</v>
      </c>
      <c r="H48" s="29" t="s">
        <v>184</v>
      </c>
      <c r="I48" s="30">
        <v>46143</v>
      </c>
      <c r="J48" s="29" t="s">
        <v>199</v>
      </c>
      <c r="K48" s="29">
        <v>946845882</v>
      </c>
      <c r="L48" s="29" t="s">
        <v>122</v>
      </c>
      <c r="M48" s="72" t="str">
        <f>Productividad.[[#This Row],[Ejecutivo]]</f>
        <v>Jackeline Matos</v>
      </c>
      <c r="N48" s="72" t="str">
        <f>Productividad.[[#This Row],[DNI]]</f>
        <v>44881019</v>
      </c>
      <c r="O48" s="45" t="str" cm="1">
        <f t="array" ref="O48">IFERROR(_xlfn.IFS(Productividad.[[#This Row],[Supervisor]]="Jonathan Lapoint","Norte",Productividad.[[#This Row],[Supervisor]]="Jorge Fuentes","Norte"),"Lima")</f>
        <v>Lima</v>
      </c>
      <c r="P48" s="45" t="str">
        <f>IFERROR(VLOOKUP(Productividad.[[#This Row],[DNI]],Ejecutivos.[],12,0),"Cesado")</f>
        <v>Activo</v>
      </c>
      <c r="Q48" s="45" t="str">
        <f>IFERROR(VLOOKUP(Productividad.[[#This Row],[DNI]],Ejecutivos.[],13,0),"Cesado")</f>
        <v>ND0013</v>
      </c>
      <c r="R48" s="45" t="str">
        <f>IFERROR(VLOOKUP(Productividad.[[#This Row],[DNI]],Ejecutivos.[],14,0),"Cesado")</f>
        <v>TR12953</v>
      </c>
      <c r="S48" s="45" t="str">
        <f>IFERROR(VLOOKUP(Productividad.[[#This Row],[DNI]],Ejecutivos.[],15,0),"Cesado")</f>
        <v>PN80238230144</v>
      </c>
      <c r="T48" s="74"/>
      <c r="U48" s="74"/>
    </row>
    <row r="49" spans="1:21" ht="14.25" customHeight="1">
      <c r="A49" s="45" t="str">
        <f>CONCATENATE(Productividad.[[#This Row],[DNI]],Productividad.[[#This Row],[Periodo]])</f>
        <v>4664054246174</v>
      </c>
      <c r="B49" s="47">
        <v>46174</v>
      </c>
      <c r="C49" s="32" t="s">
        <v>927</v>
      </c>
      <c r="D49" s="33" t="s">
        <v>941</v>
      </c>
      <c r="E49" s="34" t="s">
        <v>48</v>
      </c>
      <c r="F49" s="34" t="s">
        <v>154</v>
      </c>
      <c r="G49" s="93" t="s">
        <v>932</v>
      </c>
      <c r="H49" s="34" t="s">
        <v>184</v>
      </c>
      <c r="I49" s="35">
        <v>46189</v>
      </c>
      <c r="J49" s="93" t="s">
        <v>942</v>
      </c>
      <c r="K49" s="93">
        <v>957168165</v>
      </c>
      <c r="L49" s="29" t="s">
        <v>122</v>
      </c>
      <c r="M49" s="72" t="str">
        <f>Productividad.[[#This Row],[Ejecutivo]]</f>
        <v>Juan Sangama</v>
      </c>
      <c r="N49" s="72" t="str">
        <f>Productividad.[[#This Row],[DNI]]</f>
        <v>46640542</v>
      </c>
      <c r="O49" s="45" t="str" cm="1">
        <f t="array" ref="O49">IFERROR(_xlfn.IFS(Productividad.[[#This Row],[Supervisor]]="Jonathan Lapoint","Norte",Productividad.[[#This Row],[Supervisor]]="Jorge Fuentes","Norte"),"Lima")</f>
        <v>Lima</v>
      </c>
      <c r="P49" s="45" t="str">
        <f>IFERROR(VLOOKUP(Productividad.[[#This Row],[DNI]],Ejecutivos.[],12,0),"Cesado")</f>
        <v>Activo</v>
      </c>
      <c r="Q49" s="45" t="str">
        <f>IFERROR(VLOOKUP(Productividad.[[#This Row],[DNI]],Ejecutivos.[],13,0),"Cesado")</f>
        <v>FALTA</v>
      </c>
      <c r="R49" s="45" t="str">
        <f>IFERROR(VLOOKUP(Productividad.[[#This Row],[DNI]],Ejecutivos.[],14,0),"Cesado")</f>
        <v>FALTA</v>
      </c>
      <c r="S49" s="45" t="str">
        <f>IFERROR(VLOOKUP(Productividad.[[#This Row],[DNI]],Ejecutivos.[],15,0),"Cesado")</f>
        <v>FALTA</v>
      </c>
      <c r="T49" s="74"/>
      <c r="U49" s="74"/>
    </row>
    <row r="50" spans="1:21" ht="14.25" customHeight="1">
      <c r="A50" s="45" t="str">
        <f>CONCATENATE(Productividad.[[#This Row],[DNI]],Productividad.[[#This Row],[Periodo]])</f>
        <v>7704210246174</v>
      </c>
      <c r="B50" s="47">
        <v>46174</v>
      </c>
      <c r="C50" s="27" t="s">
        <v>202</v>
      </c>
      <c r="D50" s="28" t="s">
        <v>203</v>
      </c>
      <c r="E50" s="29" t="s">
        <v>48</v>
      </c>
      <c r="F50" s="29" t="s">
        <v>154</v>
      </c>
      <c r="G50" s="29" t="s">
        <v>204</v>
      </c>
      <c r="H50" s="29" t="s">
        <v>184</v>
      </c>
      <c r="I50" s="30">
        <v>46157</v>
      </c>
      <c r="J50" s="29" t="s">
        <v>205</v>
      </c>
      <c r="K50" s="29">
        <v>991029300</v>
      </c>
      <c r="L50" s="29" t="s">
        <v>122</v>
      </c>
      <c r="M50" s="72" t="str">
        <f>Productividad.[[#This Row],[Ejecutivo]]</f>
        <v>Luigi Castillo</v>
      </c>
      <c r="N50" s="72" t="str">
        <f>Productividad.[[#This Row],[DNI]]</f>
        <v>77042102</v>
      </c>
      <c r="O50" s="45" t="str" cm="1">
        <f t="array" ref="O50">IFERROR(_xlfn.IFS(Productividad.[[#This Row],[Supervisor]]="Jonathan Lapoint","Norte",Productividad.[[#This Row],[Supervisor]]="Jorge Fuentes","Norte"),"Lima")</f>
        <v>Lima</v>
      </c>
      <c r="P50" s="45" t="str">
        <f>IFERROR(VLOOKUP(Productividad.[[#This Row],[DNI]],Ejecutivos.[],12,0),"Cesado")</f>
        <v>Activo</v>
      </c>
      <c r="Q50" s="45" t="str">
        <f>IFERROR(VLOOKUP(Productividad.[[#This Row],[DNI]],Ejecutivos.[],13,0),"Cesado")</f>
        <v>ND0047</v>
      </c>
      <c r="R50" s="45" t="str">
        <f>IFERROR(VLOOKUP(Productividad.[[#This Row],[DNI]],Ejecutivos.[],14,0),"Cesado")</f>
        <v>TR12938</v>
      </c>
      <c r="S50" s="45" t="str">
        <f>IFERROR(VLOOKUP(Productividad.[[#This Row],[DNI]],Ejecutivos.[],15,0),"Cesado")</f>
        <v>FALTA</v>
      </c>
      <c r="T50" s="74"/>
      <c r="U50" s="74"/>
    </row>
    <row r="51" spans="1:21" ht="14.25" customHeight="1">
      <c r="A51" s="45" t="str">
        <f>CONCATENATE(Productividad.[[#This Row],[DNI]],Productividad.[[#This Row],[Periodo]])</f>
        <v>4061035846174</v>
      </c>
      <c r="B51" s="47">
        <v>46174</v>
      </c>
      <c r="C51" s="27" t="s">
        <v>207</v>
      </c>
      <c r="D51" s="28" t="s">
        <v>208</v>
      </c>
      <c r="E51" s="29" t="s">
        <v>48</v>
      </c>
      <c r="F51" s="29" t="s">
        <v>154</v>
      </c>
      <c r="G51" s="29" t="s">
        <v>209</v>
      </c>
      <c r="H51" s="29" t="s">
        <v>184</v>
      </c>
      <c r="I51" s="30">
        <v>46143</v>
      </c>
      <c r="J51" s="29" t="s">
        <v>210</v>
      </c>
      <c r="K51" s="29">
        <v>947118814</v>
      </c>
      <c r="L51" s="29" t="s">
        <v>122</v>
      </c>
      <c r="M51" s="72" t="str">
        <f>Productividad.[[#This Row],[Ejecutivo]]</f>
        <v>Nestor Jarama</v>
      </c>
      <c r="N51" s="72" t="str">
        <f>Productividad.[[#This Row],[DNI]]</f>
        <v>40610358</v>
      </c>
      <c r="O51" s="45" t="str" cm="1">
        <f t="array" ref="O51">IFERROR(_xlfn.IFS(Productividad.[[#This Row],[Supervisor]]="Jonathan Lapoint","Norte",Productividad.[[#This Row],[Supervisor]]="Jorge Fuentes","Norte"),"Lima")</f>
        <v>Lima</v>
      </c>
      <c r="P51" s="45" t="str">
        <f>IFERROR(VLOOKUP(Productividad.[[#This Row],[DNI]],Ejecutivos.[],12,0),"Cesado")</f>
        <v>Activo</v>
      </c>
      <c r="Q51" s="45" t="str">
        <f>IFERROR(VLOOKUP(Productividad.[[#This Row],[DNI]],Ejecutivos.[],13,0),"Cesado")</f>
        <v>ND0021</v>
      </c>
      <c r="R51" s="45" t="str">
        <f>IFERROR(VLOOKUP(Productividad.[[#This Row],[DNI]],Ejecutivos.[],14,0),"Cesado")</f>
        <v>TR12960</v>
      </c>
      <c r="S51" s="45" t="str">
        <f>IFERROR(VLOOKUP(Productividad.[[#This Row],[DNI]],Ejecutivos.[],15,0),"Cesado")</f>
        <v>PN0621BR40824</v>
      </c>
      <c r="T51" s="74"/>
      <c r="U51" s="74"/>
    </row>
    <row r="52" spans="1:21" ht="14.25" customHeight="1">
      <c r="A52" s="45" t="str">
        <f>CONCATENATE(Productividad.[[#This Row],[DNI]],Productividad.[[#This Row],[Periodo]])</f>
        <v>7599718346174</v>
      </c>
      <c r="B52" s="47">
        <v>46174</v>
      </c>
      <c r="C52" s="32" t="s">
        <v>929</v>
      </c>
      <c r="D52" s="33" t="s">
        <v>938</v>
      </c>
      <c r="E52" s="34" t="s">
        <v>48</v>
      </c>
      <c r="F52" s="34" t="s">
        <v>154</v>
      </c>
      <c r="G52" s="93" t="s">
        <v>934</v>
      </c>
      <c r="H52" s="34" t="s">
        <v>184</v>
      </c>
      <c r="I52" s="35">
        <v>46188</v>
      </c>
      <c r="J52" s="93" t="s">
        <v>944</v>
      </c>
      <c r="K52" s="93">
        <v>960722518</v>
      </c>
      <c r="L52" s="29" t="s">
        <v>122</v>
      </c>
      <c r="M52" s="72" t="str">
        <f>Productividad.[[#This Row],[Ejecutivo]]</f>
        <v>Katia Herrera</v>
      </c>
      <c r="N52" s="72" t="str">
        <f>Productividad.[[#This Row],[DNI]]</f>
        <v>75997183</v>
      </c>
      <c r="O52" s="45" t="str" cm="1">
        <f t="array" ref="O52">IFERROR(_xlfn.IFS(Productividad.[[#This Row],[Supervisor]]="Jonathan Lapoint","Norte",Productividad.[[#This Row],[Supervisor]]="Jorge Fuentes","Norte"),"Lima")</f>
        <v>Lima</v>
      </c>
      <c r="P52" s="45" t="str">
        <f>IFERROR(VLOOKUP(Productividad.[[#This Row],[DNI]],Ejecutivos.[],12,0),"Cesado")</f>
        <v>Activo</v>
      </c>
      <c r="Q52" s="45" t="str">
        <f>IFERROR(VLOOKUP(Productividad.[[#This Row],[DNI]],Ejecutivos.[],13,0),"Cesado")</f>
        <v>FALTA</v>
      </c>
      <c r="R52" s="45" t="str">
        <f>IFERROR(VLOOKUP(Productividad.[[#This Row],[DNI]],Ejecutivos.[],14,0),"Cesado")</f>
        <v>FALTA</v>
      </c>
      <c r="S52" s="45" t="str">
        <f>IFERROR(VLOOKUP(Productividad.[[#This Row],[DNI]],Ejecutivos.[],15,0),"Cesado")</f>
        <v>FALTA</v>
      </c>
      <c r="T52" s="74"/>
      <c r="U52" s="74"/>
    </row>
    <row r="53" spans="1:21" ht="14.25" customHeight="1">
      <c r="A53" s="45" t="str">
        <f>CONCATENATE(Productividad.[[#This Row],[DNI]],Productividad.[[#This Row],[Periodo]])</f>
        <v>7279176646174</v>
      </c>
      <c r="B53" s="47">
        <v>46174</v>
      </c>
      <c r="C53" s="32" t="s">
        <v>930</v>
      </c>
      <c r="D53" s="33" t="s">
        <v>939</v>
      </c>
      <c r="E53" s="34" t="s">
        <v>48</v>
      </c>
      <c r="F53" s="34" t="s">
        <v>170</v>
      </c>
      <c r="G53" s="93" t="s">
        <v>935</v>
      </c>
      <c r="H53" s="93" t="s">
        <v>154</v>
      </c>
      <c r="I53" s="35">
        <v>46188</v>
      </c>
      <c r="J53" s="93" t="s">
        <v>945</v>
      </c>
      <c r="K53" s="93">
        <v>937405514</v>
      </c>
      <c r="L53" s="34" t="s">
        <v>122</v>
      </c>
      <c r="M53" s="72" t="str">
        <f>Productividad.[[#This Row],[Ejecutivo]]</f>
        <v>Evelin Aspur</v>
      </c>
      <c r="N53" s="72" t="str">
        <f>Productividad.[[#This Row],[DNI]]</f>
        <v>72791766</v>
      </c>
      <c r="O53" s="45" t="str" cm="1">
        <f t="array" ref="O53">IFERROR(_xlfn.IFS(Productividad.[[#This Row],[Supervisor]]="Jonathan Lapoint","Norte",Productividad.[[#This Row],[Supervisor]]="Jorge Fuentes","Norte"),"Lima")</f>
        <v>Lima</v>
      </c>
      <c r="P53" s="45" t="str">
        <f>IFERROR(VLOOKUP(Productividad.[[#This Row],[DNI]],Ejecutivos.[],12,0),"Cesado")</f>
        <v>Activo</v>
      </c>
      <c r="Q53" s="45" t="str">
        <f>IFERROR(VLOOKUP(Productividad.[[#This Row],[DNI]],Ejecutivos.[],13,0),"Cesado")</f>
        <v>FALTA</v>
      </c>
      <c r="R53" s="45" t="str">
        <f>IFERROR(VLOOKUP(Productividad.[[#This Row],[DNI]],Ejecutivos.[],14,0),"Cesado")</f>
        <v>FALTA</v>
      </c>
      <c r="S53" s="45" t="str">
        <f>IFERROR(VLOOKUP(Productividad.[[#This Row],[DNI]],Ejecutivos.[],15,0),"Cesado")</f>
        <v>FALTA</v>
      </c>
      <c r="T53" s="74"/>
      <c r="U53" s="74"/>
    </row>
    <row r="54" spans="1:21" ht="14.25" customHeight="1">
      <c r="A54" s="45" t="str">
        <f>CONCATENATE(Productividad.[[#This Row],[DNI]],Productividad.[[#This Row],[Periodo]])</f>
        <v>4768834146174</v>
      </c>
      <c r="B54" s="47">
        <v>46174</v>
      </c>
      <c r="C54" s="22" t="s">
        <v>213</v>
      </c>
      <c r="D54" s="23" t="s">
        <v>64</v>
      </c>
      <c r="E54" s="24" t="s">
        <v>64</v>
      </c>
      <c r="F54" s="24" t="s">
        <v>21</v>
      </c>
      <c r="G54" s="24" t="s">
        <v>214</v>
      </c>
      <c r="H54" s="24" t="s">
        <v>21</v>
      </c>
      <c r="I54" s="25">
        <v>46143</v>
      </c>
      <c r="J54" s="24" t="s">
        <v>215</v>
      </c>
      <c r="K54" s="24">
        <v>924525579</v>
      </c>
      <c r="L54" s="24" t="s">
        <v>122</v>
      </c>
      <c r="M54" s="72" t="str">
        <f>Productividad.[[#This Row],[Ejecutivo]]</f>
        <v>Jean Aguilar</v>
      </c>
      <c r="N54" s="72" t="str">
        <f>Productividad.[[#This Row],[DNI]]</f>
        <v>47688341</v>
      </c>
      <c r="O54" s="45" t="str" cm="1">
        <f t="array" ref="O54">IFERROR(_xlfn.IFS(Productividad.[[#This Row],[Supervisor]]="Jonathan Lapoint","Norte",Productividad.[[#This Row],[Supervisor]]="Jorge Fuentes","Norte"),"Lima")</f>
        <v>Lima</v>
      </c>
      <c r="P54" s="45" t="str">
        <f>IFERROR(VLOOKUP(Productividad.[[#This Row],[DNI]],Ejecutivos.[],12,0),"Cesado")</f>
        <v>Activo</v>
      </c>
      <c r="Q54" s="45" t="str">
        <f>IFERROR(VLOOKUP(Productividad.[[#This Row],[DNI]],Ejecutivos.[],13,0),"Cesado")</f>
        <v>SUPERVISOR</v>
      </c>
      <c r="R54" s="45" t="str">
        <f>IFERROR(VLOOKUP(Productividad.[[#This Row],[DNI]],Ejecutivos.[],14,0),"Cesado")</f>
        <v>TR12952</v>
      </c>
      <c r="S54" s="45" t="str">
        <f>IFERROR(VLOOKUP(Productividad.[[#This Row],[DNI]],Ejecutivos.[],15,0),"Cesado")</f>
        <v>SUPERVISOR</v>
      </c>
      <c r="T54" s="74"/>
      <c r="U54" s="74"/>
    </row>
    <row r="55" spans="1:21" ht="14.25" customHeight="1">
      <c r="A55" s="45" t="str">
        <f>CONCATENATE(Productividad.[[#This Row],[DNI]],Productividad.[[#This Row],[Periodo]])</f>
        <v>4674148346174</v>
      </c>
      <c r="B55" s="47">
        <v>46174</v>
      </c>
      <c r="C55" s="27" t="s">
        <v>217</v>
      </c>
      <c r="D55" s="29" t="s">
        <v>218</v>
      </c>
      <c r="E55" s="29" t="s">
        <v>64</v>
      </c>
      <c r="F55" s="29" t="s">
        <v>154</v>
      </c>
      <c r="G55" s="29" t="s">
        <v>219</v>
      </c>
      <c r="H55" s="29" t="s">
        <v>184</v>
      </c>
      <c r="I55" s="30">
        <v>46143</v>
      </c>
      <c r="J55" s="29" t="s">
        <v>220</v>
      </c>
      <c r="K55" s="29">
        <v>950233606</v>
      </c>
      <c r="L55" s="29" t="s">
        <v>122</v>
      </c>
      <c r="M55" s="72" t="str">
        <f>Productividad.[[#This Row],[Ejecutivo]]</f>
        <v>Angelo Zavala</v>
      </c>
      <c r="N55" s="72" t="str">
        <f>Productividad.[[#This Row],[DNI]]</f>
        <v>46741483</v>
      </c>
      <c r="O55" s="45" t="str" cm="1">
        <f t="array" ref="O55">IFERROR(_xlfn.IFS(Productividad.[[#This Row],[Supervisor]]="Jonathan Lapoint","Norte",Productividad.[[#This Row],[Supervisor]]="Jorge Fuentes","Norte"),"Lima")</f>
        <v>Lima</v>
      </c>
      <c r="P55" s="45" t="str">
        <f>IFERROR(VLOOKUP(Productividad.[[#This Row],[DNI]],Ejecutivos.[],12,0),"Cesado")</f>
        <v>Activo</v>
      </c>
      <c r="Q55" s="45" t="str">
        <f>IFERROR(VLOOKUP(Productividad.[[#This Row],[DNI]],Ejecutivos.[],13,0),"Cesado")</f>
        <v>ND0010</v>
      </c>
      <c r="R55" s="45" t="str">
        <f>IFERROR(VLOOKUP(Productividad.[[#This Row],[DNI]],Ejecutivos.[],14,0),"Cesado")</f>
        <v>TR12956</v>
      </c>
      <c r="S55" s="45" t="str">
        <f>IFERROR(VLOOKUP(Productividad.[[#This Row],[DNI]],Ejecutivos.[],15,0),"Cesado")</f>
        <v>PN14229631508</v>
      </c>
      <c r="T55" s="74"/>
      <c r="U55" s="74"/>
    </row>
    <row r="56" spans="1:21" ht="14.25" customHeight="1">
      <c r="A56" s="45" t="str">
        <f>CONCATENATE(Productividad.[[#This Row],[DNI]],Productividad.[[#This Row],[Periodo]])</f>
        <v>4531169146174</v>
      </c>
      <c r="B56" s="47">
        <v>46174</v>
      </c>
      <c r="C56" s="27" t="s">
        <v>223</v>
      </c>
      <c r="D56" s="28" t="s">
        <v>74</v>
      </c>
      <c r="E56" s="29" t="s">
        <v>64</v>
      </c>
      <c r="F56" s="29" t="s">
        <v>170</v>
      </c>
      <c r="G56" s="29" t="s">
        <v>53</v>
      </c>
      <c r="H56" s="29" t="s">
        <v>154</v>
      </c>
      <c r="I56" s="30">
        <v>46143</v>
      </c>
      <c r="J56" s="29" t="s">
        <v>224</v>
      </c>
      <c r="K56" s="29">
        <v>944290819</v>
      </c>
      <c r="L56" s="29" t="s">
        <v>122</v>
      </c>
      <c r="M56" s="72" t="str">
        <f>Productividad.[[#This Row],[Ejecutivo]]</f>
        <v>Edinson Chuyes</v>
      </c>
      <c r="N56" s="72" t="str">
        <f>Productividad.[[#This Row],[DNI]]</f>
        <v>45311691</v>
      </c>
      <c r="O56" s="45" t="str" cm="1">
        <f t="array" ref="O56">IFERROR(_xlfn.IFS(Productividad.[[#This Row],[Supervisor]]="Jonathan Lapoint","Norte",Productividad.[[#This Row],[Supervisor]]="Jorge Fuentes","Norte"),"Lima")</f>
        <v>Lima</v>
      </c>
      <c r="P56" s="45" t="str">
        <f>IFERROR(VLOOKUP(Productividad.[[#This Row],[DNI]],Ejecutivos.[],12,0),"Cesado")</f>
        <v>Activo</v>
      </c>
      <c r="Q56" s="45" t="str">
        <f>IFERROR(VLOOKUP(Productividad.[[#This Row],[DNI]],Ejecutivos.[],13,0),"Cesado")</f>
        <v>ND0004</v>
      </c>
      <c r="R56" s="45" t="str">
        <f>IFERROR(VLOOKUP(Productividad.[[#This Row],[DNI]],Ejecutivos.[],14,0),"Cesado")</f>
        <v>TR12967</v>
      </c>
      <c r="S56" s="45" t="str">
        <f>IFERROR(VLOOKUP(Productividad.[[#This Row],[DNI]],Ejecutivos.[],15,0),"Cesado")</f>
        <v>PN80236E31787</v>
      </c>
      <c r="T56" s="74"/>
      <c r="U56" s="74"/>
    </row>
    <row r="57" spans="1:21" ht="14.25" customHeight="1">
      <c r="A57" s="45" t="str">
        <f>CONCATENATE(Productividad.[[#This Row],[DNI]],Productividad.[[#This Row],[Periodo]])</f>
        <v>7701609546174</v>
      </c>
      <c r="B57" s="47">
        <v>46174</v>
      </c>
      <c r="C57" s="27" t="s">
        <v>227</v>
      </c>
      <c r="D57" s="28" t="s">
        <v>86</v>
      </c>
      <c r="E57" s="29" t="s">
        <v>64</v>
      </c>
      <c r="F57" s="29" t="s">
        <v>154</v>
      </c>
      <c r="G57" s="29" t="s">
        <v>87</v>
      </c>
      <c r="H57" s="29" t="s">
        <v>184</v>
      </c>
      <c r="I57" s="30">
        <v>46143</v>
      </c>
      <c r="J57" s="29" t="s">
        <v>228</v>
      </c>
      <c r="K57" s="29">
        <v>992165027</v>
      </c>
      <c r="L57" s="29" t="s">
        <v>122</v>
      </c>
      <c r="M57" s="72" t="str">
        <f>Productividad.[[#This Row],[Ejecutivo]]</f>
        <v>Guadalupe Del Pino</v>
      </c>
      <c r="N57" s="72" t="str">
        <f>Productividad.[[#This Row],[DNI]]</f>
        <v>77016095</v>
      </c>
      <c r="O57" s="45" t="str" cm="1">
        <f t="array" ref="O57">IFERROR(_xlfn.IFS(Productividad.[[#This Row],[Supervisor]]="Jonathan Lapoint","Norte",Productividad.[[#This Row],[Supervisor]]="Jorge Fuentes","Norte"),"Lima")</f>
        <v>Lima</v>
      </c>
      <c r="P57" s="45" t="str">
        <f>IFERROR(VLOOKUP(Productividad.[[#This Row],[DNI]],Ejecutivos.[],12,0),"Cesado")</f>
        <v>Activo</v>
      </c>
      <c r="Q57" s="45" t="str">
        <f>IFERROR(VLOOKUP(Productividad.[[#This Row],[DNI]],Ejecutivos.[],13,0),"Cesado")</f>
        <v>ND0023</v>
      </c>
      <c r="R57" s="45" t="str">
        <f>IFERROR(VLOOKUP(Productividad.[[#This Row],[DNI]],Ejecutivos.[],14,0),"Cesado")</f>
        <v>TR12954</v>
      </c>
      <c r="S57" s="45" t="str">
        <f>IFERROR(VLOOKUP(Productividad.[[#This Row],[DNI]],Ejecutivos.[],15,0),"Cesado")</f>
        <v>PN80239C31145</v>
      </c>
      <c r="T57" s="74"/>
      <c r="U57" s="74"/>
    </row>
    <row r="58" spans="1:21" ht="14.25" customHeight="1">
      <c r="A58" s="45" t="str">
        <f>CONCATENATE(Productividad.[[#This Row],[DNI]],Productividad.[[#This Row],[Periodo]])</f>
        <v>4130907646174</v>
      </c>
      <c r="B58" s="47">
        <v>46174</v>
      </c>
      <c r="C58" s="27" t="s">
        <v>230</v>
      </c>
      <c r="D58" s="28" t="s">
        <v>69</v>
      </c>
      <c r="E58" s="29" t="s">
        <v>64</v>
      </c>
      <c r="F58" s="29" t="s">
        <v>154</v>
      </c>
      <c r="G58" s="29" t="s">
        <v>821</v>
      </c>
      <c r="H58" s="29" t="s">
        <v>184</v>
      </c>
      <c r="I58" s="30">
        <v>46143</v>
      </c>
      <c r="J58" s="29" t="s">
        <v>231</v>
      </c>
      <c r="K58" s="29">
        <v>973824987</v>
      </c>
      <c r="L58" s="29" t="s">
        <v>122</v>
      </c>
      <c r="M58" s="72" t="str">
        <f>Productividad.[[#This Row],[Ejecutivo]]</f>
        <v>Jonathan Lavado</v>
      </c>
      <c r="N58" s="72" t="str">
        <f>Productividad.[[#This Row],[DNI]]</f>
        <v>41309076</v>
      </c>
      <c r="O58" s="45" t="str" cm="1">
        <f t="array" ref="O58">IFERROR(_xlfn.IFS(Productividad.[[#This Row],[Supervisor]]="Jonathan Lapoint","Norte",Productividad.[[#This Row],[Supervisor]]="Jorge Fuentes","Norte"),"Lima")</f>
        <v>Lima</v>
      </c>
      <c r="P58" s="45" t="str">
        <f>IFERROR(VLOOKUP(Productividad.[[#This Row],[DNI]],Ejecutivos.[],12,0),"Cesado")</f>
        <v>Activo</v>
      </c>
      <c r="Q58" s="45" t="str">
        <f>IFERROR(VLOOKUP(Productividad.[[#This Row],[DNI]],Ejecutivos.[],13,0),"Cesado")</f>
        <v>ND0032</v>
      </c>
      <c r="R58" s="45" t="str">
        <f>IFERROR(VLOOKUP(Productividad.[[#This Row],[DNI]],Ejecutivos.[],14,0),"Cesado")</f>
        <v>TR12949</v>
      </c>
      <c r="S58" s="45" t="str">
        <f>IFERROR(VLOOKUP(Productividad.[[#This Row],[DNI]],Ejecutivos.[],15,0),"Cesado")</f>
        <v>PN1421AF41036</v>
      </c>
      <c r="T58" s="74"/>
      <c r="U58" s="74"/>
    </row>
    <row r="59" spans="1:21" ht="14.25" customHeight="1">
      <c r="A59" s="45" t="str">
        <f>CONCATENATE(Productividad.[[#This Row],[DNI]],Productividad.[[#This Row],[Periodo]])</f>
        <v>7015101046174</v>
      </c>
      <c r="B59" s="47">
        <v>46174</v>
      </c>
      <c r="C59" s="27" t="s">
        <v>233</v>
      </c>
      <c r="D59" s="28" t="s">
        <v>63</v>
      </c>
      <c r="E59" s="29" t="s">
        <v>64</v>
      </c>
      <c r="F59" s="29" t="s">
        <v>154</v>
      </c>
      <c r="G59" s="29" t="s">
        <v>65</v>
      </c>
      <c r="H59" s="29" t="s">
        <v>154</v>
      </c>
      <c r="I59" s="30">
        <v>46143</v>
      </c>
      <c r="J59" s="29" t="s">
        <v>234</v>
      </c>
      <c r="K59" s="29">
        <v>964152198</v>
      </c>
      <c r="L59" s="29" t="s">
        <v>122</v>
      </c>
      <c r="M59" s="72" t="str">
        <f>Productividad.[[#This Row],[Ejecutivo]]</f>
        <v>Richard Benites</v>
      </c>
      <c r="N59" s="72" t="str">
        <f>Productividad.[[#This Row],[DNI]]</f>
        <v>70151010</v>
      </c>
      <c r="O59" s="45" t="str" cm="1">
        <f t="array" ref="O59">IFERROR(_xlfn.IFS(Productividad.[[#This Row],[Supervisor]]="Jonathan Lapoint","Norte",Productividad.[[#This Row],[Supervisor]]="Jorge Fuentes","Norte"),"Lima")</f>
        <v>Lima</v>
      </c>
      <c r="P59" s="45" t="str">
        <f>IFERROR(VLOOKUP(Productividad.[[#This Row],[DNI]],Ejecutivos.[],12,0),"Cesado")</f>
        <v>Activo</v>
      </c>
      <c r="Q59" s="45" t="str">
        <f>IFERROR(VLOOKUP(Productividad.[[#This Row],[DNI]],Ejecutivos.[],13,0),"Cesado")</f>
        <v>ND0005</v>
      </c>
      <c r="R59" s="45" t="str">
        <f>IFERROR(VLOOKUP(Productividad.[[#This Row],[DNI]],Ejecutivos.[],14,0),"Cesado")</f>
        <v>TR12968</v>
      </c>
      <c r="S59" s="45" t="str">
        <f>IFERROR(VLOOKUP(Productividad.[[#This Row],[DNI]],Ejecutivos.[],15,0),"Cesado")</f>
        <v>PN14229631797</v>
      </c>
      <c r="T59" s="74"/>
      <c r="U59" s="74"/>
    </row>
    <row r="60" spans="1:21" ht="14.25" customHeight="1">
      <c r="A60" s="45" t="str">
        <f>CONCATENATE(Productividad.[[#This Row],[DNI]],Productividad.[[#This Row],[Periodo]])</f>
        <v>4768440346174</v>
      </c>
      <c r="B60" s="47">
        <v>46174</v>
      </c>
      <c r="C60" s="32" t="s">
        <v>928</v>
      </c>
      <c r="D60" s="33" t="s">
        <v>937</v>
      </c>
      <c r="E60" s="34" t="s">
        <v>64</v>
      </c>
      <c r="F60" s="34" t="s">
        <v>152</v>
      </c>
      <c r="G60" s="93" t="s">
        <v>933</v>
      </c>
      <c r="H60" s="34" t="s">
        <v>184</v>
      </c>
      <c r="I60" s="35">
        <v>46189</v>
      </c>
      <c r="J60" s="93" t="s">
        <v>943</v>
      </c>
      <c r="K60" s="93">
        <v>920661176</v>
      </c>
      <c r="L60" s="34" t="s">
        <v>122</v>
      </c>
      <c r="M60" s="72" t="str">
        <f>Productividad.[[#This Row],[Ejecutivo]]</f>
        <v>Jonathan Coronel</v>
      </c>
      <c r="N60" s="72" t="str">
        <f>Productividad.[[#This Row],[DNI]]</f>
        <v>47684403</v>
      </c>
      <c r="O60" s="45" t="str" cm="1">
        <f t="array" ref="O60">IFERROR(_xlfn.IFS(Productividad.[[#This Row],[Supervisor]]="Jonathan Lapoint","Norte",Productividad.[[#This Row],[Supervisor]]="Jorge Fuentes","Norte"),"Lima")</f>
        <v>Lima</v>
      </c>
      <c r="P60" s="45" t="str">
        <f>IFERROR(VLOOKUP(Productividad.[[#This Row],[DNI]],Ejecutivos.[],12,0),"Cesado")</f>
        <v>Activo</v>
      </c>
      <c r="Q60" s="45" t="str">
        <f>IFERROR(VLOOKUP(Productividad.[[#This Row],[DNI]],Ejecutivos.[],13,0),"Cesado")</f>
        <v>FALTA</v>
      </c>
      <c r="R60" s="45" t="str">
        <f>IFERROR(VLOOKUP(Productividad.[[#This Row],[DNI]],Ejecutivos.[],14,0),"Cesado")</f>
        <v>FALTA</v>
      </c>
      <c r="S60" s="45" t="str">
        <f>IFERROR(VLOOKUP(Productividad.[[#This Row],[DNI]],Ejecutivos.[],15,0),"Cesado")</f>
        <v>FALTA</v>
      </c>
      <c r="T60" s="74"/>
      <c r="U60" s="74"/>
    </row>
    <row r="61" spans="1:21" ht="14.25" customHeight="1">
      <c r="A61" s="45" t="str">
        <f>CONCATENATE(Productividad.[[#This Row],[DNI]],Productividad.[[#This Row],[Periodo]])</f>
        <v>7043055446174</v>
      </c>
      <c r="B61" s="47">
        <v>46174</v>
      </c>
      <c r="C61" s="22" t="s">
        <v>237</v>
      </c>
      <c r="D61" s="23" t="s">
        <v>98</v>
      </c>
      <c r="E61" s="24" t="s">
        <v>98</v>
      </c>
      <c r="F61" s="24" t="s">
        <v>21</v>
      </c>
      <c r="G61" s="24" t="s">
        <v>238</v>
      </c>
      <c r="H61" s="24" t="s">
        <v>21</v>
      </c>
      <c r="I61" s="25">
        <v>46143</v>
      </c>
      <c r="J61" s="24" t="s">
        <v>239</v>
      </c>
      <c r="K61" s="24">
        <v>934712424</v>
      </c>
      <c r="L61" s="24" t="s">
        <v>240</v>
      </c>
      <c r="M61" s="72" t="str">
        <f>Productividad.[[#This Row],[Ejecutivo]]</f>
        <v>Jonathan Lapoint</v>
      </c>
      <c r="N61" s="72" t="str">
        <f>Productividad.[[#This Row],[DNI]]</f>
        <v>70430554</v>
      </c>
      <c r="O61" s="45" t="str" cm="1">
        <f t="array" ref="O61">IFERROR(_xlfn.IFS(Productividad.[[#This Row],[Supervisor]]="Jonathan Lapoint","Norte",Productividad.[[#This Row],[Supervisor]]="Jorge Fuentes","Norte"),"Lima")</f>
        <v>Norte</v>
      </c>
      <c r="P61" s="45" t="str">
        <f>IFERROR(VLOOKUP(Productividad.[[#This Row],[DNI]],Ejecutivos.[],12,0),"Cesado")</f>
        <v>Activo</v>
      </c>
      <c r="Q61" s="45" t="str">
        <f>IFERROR(VLOOKUP(Productividad.[[#This Row],[DNI]],Ejecutivos.[],13,0),"Cesado")</f>
        <v>SUPERVISOR</v>
      </c>
      <c r="R61" s="45" t="str">
        <f>IFERROR(VLOOKUP(Productividad.[[#This Row],[DNI]],Ejecutivos.[],14,0),"Cesado")</f>
        <v>TR12950</v>
      </c>
      <c r="S61" s="45" t="str">
        <f>IFERROR(VLOOKUP(Productividad.[[#This Row],[DNI]],Ejecutivos.[],15,0),"Cesado")</f>
        <v>SUPERVISOR</v>
      </c>
      <c r="T61" s="74"/>
      <c r="U61" s="74"/>
    </row>
    <row r="62" spans="1:21" ht="14.25" customHeight="1">
      <c r="A62" s="45" t="str">
        <f>CONCATENATE(Productividad.[[#This Row],[DNI]],Productividad.[[#This Row],[Periodo]])</f>
        <v>7603264546174</v>
      </c>
      <c r="B62" s="47">
        <v>46174</v>
      </c>
      <c r="C62" s="27" t="s">
        <v>242</v>
      </c>
      <c r="D62" s="28" t="s">
        <v>97</v>
      </c>
      <c r="E62" s="29" t="s">
        <v>98</v>
      </c>
      <c r="F62" s="29" t="s">
        <v>152</v>
      </c>
      <c r="G62" s="29" t="s">
        <v>99</v>
      </c>
      <c r="H62" s="29" t="s">
        <v>154</v>
      </c>
      <c r="I62" s="30">
        <v>46143</v>
      </c>
      <c r="J62" s="29" t="s">
        <v>243</v>
      </c>
      <c r="K62" s="29">
        <v>995963073</v>
      </c>
      <c r="L62" s="29" t="s">
        <v>240</v>
      </c>
      <c r="M62" s="72" t="str">
        <f>Productividad.[[#This Row],[Ejecutivo]]</f>
        <v>Alberto Chaname</v>
      </c>
      <c r="N62" s="72" t="str">
        <f>Productividad.[[#This Row],[DNI]]</f>
        <v>76032645</v>
      </c>
      <c r="O62" s="45" t="str" cm="1">
        <f t="array" ref="O62">IFERROR(_xlfn.IFS(Productividad.[[#This Row],[Supervisor]]="Jonathan Lapoint","Norte",Productividad.[[#This Row],[Supervisor]]="Jorge Fuentes","Norte"),"Lima")</f>
        <v>Norte</v>
      </c>
      <c r="P62" s="45" t="str">
        <f>IFERROR(VLOOKUP(Productividad.[[#This Row],[DNI]],Ejecutivos.[],12,0),"Cesado")</f>
        <v>Activo</v>
      </c>
      <c r="Q62" s="45" t="str">
        <f>IFERROR(VLOOKUP(Productividad.[[#This Row],[DNI]],Ejecutivos.[],13,0),"Cesado")</f>
        <v>ND0008</v>
      </c>
      <c r="R62" s="45" t="str">
        <f>IFERROR(VLOOKUP(Productividad.[[#This Row],[DNI]],Ejecutivos.[],14,0),"Cesado")</f>
        <v>TR12976</v>
      </c>
      <c r="S62" s="45" t="str">
        <f>IFERROR(VLOOKUP(Productividad.[[#This Row],[DNI]],Ejecutivos.[],15,0),"Cesado")</f>
        <v>PN04219D40090</v>
      </c>
      <c r="T62" s="74"/>
      <c r="U62" s="74"/>
    </row>
    <row r="63" spans="1:21" ht="14.25" customHeight="1">
      <c r="A63" s="45" t="str">
        <f>CONCATENATE(Productividad.[[#This Row],[DNI]],Productividad.[[#This Row],[Periodo]])</f>
        <v>4236870046174</v>
      </c>
      <c r="B63" s="47">
        <v>46174</v>
      </c>
      <c r="C63" s="27" t="s">
        <v>246</v>
      </c>
      <c r="D63" s="28" t="s">
        <v>247</v>
      </c>
      <c r="E63" s="29" t="s">
        <v>98</v>
      </c>
      <c r="F63" s="29" t="s">
        <v>154</v>
      </c>
      <c r="G63" s="29" t="s">
        <v>248</v>
      </c>
      <c r="H63" s="29" t="s">
        <v>184</v>
      </c>
      <c r="I63" s="30">
        <v>46143</v>
      </c>
      <c r="J63" s="29" t="s">
        <v>249</v>
      </c>
      <c r="K63" s="29">
        <v>994502138</v>
      </c>
      <c r="L63" s="29" t="s">
        <v>240</v>
      </c>
      <c r="M63" s="72" t="str">
        <f>Productividad.[[#This Row],[Ejecutivo]]</f>
        <v>Billy Villacrez</v>
      </c>
      <c r="N63" s="72" t="str">
        <f>Productividad.[[#This Row],[DNI]]</f>
        <v>42368700</v>
      </c>
      <c r="O63" s="45" t="str" cm="1">
        <f t="array" ref="O63">IFERROR(_xlfn.IFS(Productividad.[[#This Row],[Supervisor]]="Jonathan Lapoint","Norte",Productividad.[[#This Row],[Supervisor]]="Jorge Fuentes","Norte"),"Lima")</f>
        <v>Norte</v>
      </c>
      <c r="P63" s="45" t="str">
        <f>IFERROR(VLOOKUP(Productividad.[[#This Row],[DNI]],Ejecutivos.[],12,0),"Cesado")</f>
        <v>Activo</v>
      </c>
      <c r="Q63" s="45" t="str">
        <f>IFERROR(VLOOKUP(Productividad.[[#This Row],[DNI]],Ejecutivos.[],13,0),"Cesado")</f>
        <v>ND0036</v>
      </c>
      <c r="R63" s="45" t="str">
        <f>IFERROR(VLOOKUP(Productividad.[[#This Row],[DNI]],Ejecutivos.[],14,0),"Cesado")</f>
        <v>TR12939</v>
      </c>
      <c r="S63" s="45" t="str">
        <f>IFERROR(VLOOKUP(Productividad.[[#This Row],[DNI]],Ejecutivos.[],15,0),"Cesado")</f>
        <v>PN14224M41780</v>
      </c>
      <c r="T63" s="74"/>
      <c r="U63" s="74"/>
    </row>
    <row r="64" spans="1:21" ht="14.25" customHeight="1">
      <c r="A64" s="45" t="str">
        <f>CONCATENATE(Productividad.[[#This Row],[DNI]],Productividad.[[#This Row],[Periodo]])</f>
        <v>7406564646174</v>
      </c>
      <c r="B64" s="47">
        <v>46174</v>
      </c>
      <c r="C64" s="27" t="s">
        <v>257</v>
      </c>
      <c r="D64" s="28" t="s">
        <v>258</v>
      </c>
      <c r="E64" s="29" t="s">
        <v>98</v>
      </c>
      <c r="F64" s="29" t="s">
        <v>154</v>
      </c>
      <c r="G64" s="29" t="s">
        <v>259</v>
      </c>
      <c r="H64" s="29" t="s">
        <v>184</v>
      </c>
      <c r="I64" s="30">
        <v>46143</v>
      </c>
      <c r="J64" s="29" t="s">
        <v>260</v>
      </c>
      <c r="K64" s="29">
        <v>990189915</v>
      </c>
      <c r="L64" s="29" t="s">
        <v>261</v>
      </c>
      <c r="M64" s="72" t="str">
        <f>Productividad.[[#This Row],[Ejecutivo]]</f>
        <v>Claudia Negrete</v>
      </c>
      <c r="N64" s="72" t="str">
        <f>Productividad.[[#This Row],[DNI]]</f>
        <v>74065646</v>
      </c>
      <c r="O64" s="45" t="str" cm="1">
        <f t="array" ref="O64">IFERROR(_xlfn.IFS(Productividad.[[#This Row],[Supervisor]]="Jonathan Lapoint","Norte",Productividad.[[#This Row],[Supervisor]]="Jorge Fuentes","Norte"),"Lima")</f>
        <v>Norte</v>
      </c>
      <c r="P64" s="45" t="str">
        <f>IFERROR(VLOOKUP(Productividad.[[#This Row],[DNI]],Ejecutivos.[],12,0),"Cesado")</f>
        <v>Activo</v>
      </c>
      <c r="Q64" s="45" t="str">
        <f>IFERROR(VLOOKUP(Productividad.[[#This Row],[DNI]],Ejecutivos.[],13,0),"Cesado")</f>
        <v>ND0041</v>
      </c>
      <c r="R64" s="45" t="str">
        <f>IFERROR(VLOOKUP(Productividad.[[#This Row],[DNI]],Ejecutivos.[],14,0),"Cesado")</f>
        <v>TR12965</v>
      </c>
      <c r="S64" s="45" t="str">
        <f>IFERROR(VLOOKUP(Productividad.[[#This Row],[DNI]],Ejecutivos.[],15,0),"Cesado")</f>
        <v>PN14229631201</v>
      </c>
      <c r="T64" s="74"/>
      <c r="U64" s="74"/>
    </row>
    <row r="65" spans="1:21" ht="14.25" customHeight="1">
      <c r="A65" s="45" t="str">
        <f>CONCATENATE(Productividad.[[#This Row],[DNI]],Productividad.[[#This Row],[Periodo]])</f>
        <v>7264156946174</v>
      </c>
      <c r="B65" s="47">
        <v>46174</v>
      </c>
      <c r="C65" s="27" t="s">
        <v>264</v>
      </c>
      <c r="D65" s="28" t="s">
        <v>265</v>
      </c>
      <c r="E65" s="29" t="s">
        <v>98</v>
      </c>
      <c r="F65" s="29" t="s">
        <v>154</v>
      </c>
      <c r="G65" s="29" t="s">
        <v>266</v>
      </c>
      <c r="H65" s="29" t="s">
        <v>184</v>
      </c>
      <c r="I65" s="30">
        <v>46143</v>
      </c>
      <c r="J65" s="29" t="s">
        <v>267</v>
      </c>
      <c r="K65" s="29">
        <v>934917447</v>
      </c>
      <c r="L65" s="29" t="s">
        <v>261</v>
      </c>
      <c r="M65" s="72" t="str">
        <f>Productividad.[[#This Row],[Ejecutivo]]</f>
        <v>Katherine Zuloeta</v>
      </c>
      <c r="N65" s="72" t="str">
        <f>Productividad.[[#This Row],[DNI]]</f>
        <v>72641569</v>
      </c>
      <c r="O65" s="45" t="str" cm="1">
        <f t="array" ref="O65">IFERROR(_xlfn.IFS(Productividad.[[#This Row],[Supervisor]]="Jonathan Lapoint","Norte",Productividad.[[#This Row],[Supervisor]]="Jorge Fuentes","Norte"),"Lima")</f>
        <v>Norte</v>
      </c>
      <c r="P65" s="45" t="str">
        <f>IFERROR(VLOOKUP(Productividad.[[#This Row],[DNI]],Ejecutivos.[],12,0),"Cesado")</f>
        <v>Activo</v>
      </c>
      <c r="Q65" s="45" t="str">
        <f>IFERROR(VLOOKUP(Productividad.[[#This Row],[DNI]],Ejecutivos.[],13,0),"Cesado")</f>
        <v>ND0033</v>
      </c>
      <c r="R65" s="45" t="str">
        <f>IFERROR(VLOOKUP(Productividad.[[#This Row],[DNI]],Ejecutivos.[],14,0),"Cesado")</f>
        <v>TR12947</v>
      </c>
      <c r="S65" s="45" t="str">
        <f>IFERROR(VLOOKUP(Productividad.[[#This Row],[DNI]],Ejecutivos.[],15,0),"Cesado")</f>
        <v>PN14213Q21808</v>
      </c>
      <c r="T65" s="74"/>
      <c r="U65" s="74"/>
    </row>
    <row r="66" spans="1:21" ht="14.25" customHeight="1">
      <c r="A66" s="45" t="str">
        <f>CONCATENATE(Productividad.[[#This Row],[DNI]],Productividad.[[#This Row],[Periodo]])</f>
        <v>0010043646174</v>
      </c>
      <c r="B66" s="47">
        <v>46174</v>
      </c>
      <c r="C66" s="27" t="s">
        <v>270</v>
      </c>
      <c r="D66" s="28" t="s">
        <v>271</v>
      </c>
      <c r="E66" s="29" t="s">
        <v>98</v>
      </c>
      <c r="F66" s="29" t="s">
        <v>154</v>
      </c>
      <c r="G66" s="29" t="s">
        <v>272</v>
      </c>
      <c r="H66" s="29" t="s">
        <v>184</v>
      </c>
      <c r="I66" s="30">
        <v>46143</v>
      </c>
      <c r="J66" s="29" t="s">
        <v>273</v>
      </c>
      <c r="K66" s="29">
        <v>980946913</v>
      </c>
      <c r="L66" s="29" t="s">
        <v>274</v>
      </c>
      <c r="M66" s="72" t="str">
        <f>Productividad.[[#This Row],[Ejecutivo]]</f>
        <v>Lin Ley Casique</v>
      </c>
      <c r="N66" s="72" t="str">
        <f>Productividad.[[#This Row],[DNI]]</f>
        <v>00100436</v>
      </c>
      <c r="O66" s="45" t="str" cm="1">
        <f t="array" ref="O66">IFERROR(_xlfn.IFS(Productividad.[[#This Row],[Supervisor]]="Jonathan Lapoint","Norte",Productividad.[[#This Row],[Supervisor]]="Jorge Fuentes","Norte"),"Lima")</f>
        <v>Norte</v>
      </c>
      <c r="P66" s="45" t="str">
        <f>IFERROR(VLOOKUP(Productividad.[[#This Row],[DNI]],Ejecutivos.[],12,0),"Cesado")</f>
        <v>Activo</v>
      </c>
      <c r="Q66" s="45" t="str">
        <f>IFERROR(VLOOKUP(Productividad.[[#This Row],[DNI]],Ejecutivos.[],13,0),"Cesado")</f>
        <v>ND0034</v>
      </c>
      <c r="R66" s="45" t="str">
        <f>IFERROR(VLOOKUP(Productividad.[[#This Row],[DNI]],Ejecutivos.[],14,0),"Cesado")</f>
        <v>TR12940</v>
      </c>
      <c r="S66" s="45" t="str">
        <f>IFERROR(VLOOKUP(Productividad.[[#This Row],[DNI]],Ejecutivos.[],15,0),"Cesado")</f>
        <v>PN06221A41712</v>
      </c>
      <c r="T66" s="74"/>
      <c r="U66" s="74"/>
    </row>
    <row r="67" spans="1:21" ht="14.25" customHeight="1">
      <c r="A67" s="45" t="str">
        <f>CONCATENATE(Productividad.[[#This Row],[DNI]],Productividad.[[#This Row],[Periodo]])</f>
        <v>4285853246174</v>
      </c>
      <c r="B67" s="47">
        <v>46174</v>
      </c>
      <c r="C67" s="27" t="s">
        <v>277</v>
      </c>
      <c r="D67" s="29" t="s">
        <v>278</v>
      </c>
      <c r="E67" s="29" t="s">
        <v>98</v>
      </c>
      <c r="F67" s="29" t="s">
        <v>154</v>
      </c>
      <c r="G67" s="29" t="s">
        <v>279</v>
      </c>
      <c r="H67" s="29" t="s">
        <v>184</v>
      </c>
      <c r="I67" s="30">
        <v>46143</v>
      </c>
      <c r="J67" s="29" t="s">
        <v>280</v>
      </c>
      <c r="K67" s="29">
        <v>900487742</v>
      </c>
      <c r="L67" s="29" t="s">
        <v>240</v>
      </c>
      <c r="M67" s="72" t="str">
        <f>Productividad.[[#This Row],[Ejecutivo]]</f>
        <v>Marlon Martinez</v>
      </c>
      <c r="N67" s="72" t="str">
        <f>Productividad.[[#This Row],[DNI]]</f>
        <v>42858532</v>
      </c>
      <c r="O67" s="45" t="str" cm="1">
        <f t="array" ref="O67">IFERROR(_xlfn.IFS(Productividad.[[#This Row],[Supervisor]]="Jonathan Lapoint","Norte",Productividad.[[#This Row],[Supervisor]]="Jorge Fuentes","Norte"),"Lima")</f>
        <v>Norte</v>
      </c>
      <c r="P67" s="45" t="str">
        <f>IFERROR(VLOOKUP(Productividad.[[#This Row],[DNI]],Ejecutivos.[],12,0),"Cesado")</f>
        <v>Activo</v>
      </c>
      <c r="Q67" s="45" t="str">
        <f>IFERROR(VLOOKUP(Productividad.[[#This Row],[DNI]],Ejecutivos.[],13,0),"Cesado")</f>
        <v>ND0035</v>
      </c>
      <c r="R67" s="45" t="str">
        <f>IFERROR(VLOOKUP(Productividad.[[#This Row],[DNI]],Ejecutivos.[],14,0),"Cesado")</f>
        <v>FALTA</v>
      </c>
      <c r="S67" s="45" t="str">
        <f>IFERROR(VLOOKUP(Productividad.[[#This Row],[DNI]],Ejecutivos.[],15,0),"Cesado")</f>
        <v>PN80236G30963</v>
      </c>
      <c r="T67" s="74"/>
      <c r="U67" s="74"/>
    </row>
    <row r="68" spans="1:21" ht="14.25" customHeight="1">
      <c r="A68" s="45" t="str">
        <f>CONCATENATE(Productividad.[[#This Row],[DNI]],Productividad.[[#This Row],[Periodo]])</f>
        <v>7187028646174</v>
      </c>
      <c r="B68" s="47">
        <v>46174</v>
      </c>
      <c r="C68" s="27" t="s">
        <v>283</v>
      </c>
      <c r="D68" s="28" t="s">
        <v>284</v>
      </c>
      <c r="E68" s="29" t="s">
        <v>98</v>
      </c>
      <c r="F68" s="29" t="s">
        <v>152</v>
      </c>
      <c r="G68" s="29" t="s">
        <v>285</v>
      </c>
      <c r="H68" s="29" t="s">
        <v>184</v>
      </c>
      <c r="I68" s="30">
        <v>46143</v>
      </c>
      <c r="J68" s="29" t="s">
        <v>286</v>
      </c>
      <c r="K68" s="29">
        <v>902361503</v>
      </c>
      <c r="L68" s="29" t="s">
        <v>240</v>
      </c>
      <c r="M68" s="72" t="str">
        <f>Productividad.[[#This Row],[Ejecutivo]]</f>
        <v>William Cortez</v>
      </c>
      <c r="N68" s="72" t="str">
        <f>Productividad.[[#This Row],[DNI]]</f>
        <v>71870286</v>
      </c>
      <c r="O68" s="45" t="str" cm="1">
        <f t="array" ref="O68">IFERROR(_xlfn.IFS(Productividad.[[#This Row],[Supervisor]]="Jonathan Lapoint","Norte",Productividad.[[#This Row],[Supervisor]]="Jorge Fuentes","Norte"),"Lima")</f>
        <v>Norte</v>
      </c>
      <c r="P68" s="45" t="str">
        <f>IFERROR(VLOOKUP(Productividad.[[#This Row],[DNI]],Ejecutivos.[],12,0),"Cesado")</f>
        <v>Activo</v>
      </c>
      <c r="Q68" s="45" t="str">
        <f>IFERROR(VLOOKUP(Productividad.[[#This Row],[DNI]],Ejecutivos.[],13,0),"Cesado")</f>
        <v>ND0038</v>
      </c>
      <c r="R68" s="45" t="str">
        <f>IFERROR(VLOOKUP(Productividad.[[#This Row],[DNI]],Ejecutivos.[],14,0),"Cesado")</f>
        <v>TR12941</v>
      </c>
      <c r="S68" s="45" t="str">
        <f>IFERROR(VLOOKUP(Productividad.[[#This Row],[DNI]],Ejecutivos.[],15,0),"Cesado")</f>
        <v>PN0621AU41433</v>
      </c>
      <c r="T68" s="74"/>
      <c r="U68" s="74"/>
    </row>
    <row r="69" spans="1:21" ht="14.25" customHeight="1">
      <c r="A69" s="45" t="str">
        <f>CONCATENATE(Productividad.[[#This Row],[DNI]],Productividad.[[#This Row],[Periodo]])</f>
        <v>7005986546174</v>
      </c>
      <c r="B69" s="47">
        <v>46174</v>
      </c>
      <c r="C69" s="22" t="s">
        <v>289</v>
      </c>
      <c r="D69" s="23" t="s">
        <v>42</v>
      </c>
      <c r="E69" s="24" t="s">
        <v>42</v>
      </c>
      <c r="F69" s="24" t="s">
        <v>21</v>
      </c>
      <c r="G69" s="24" t="s">
        <v>290</v>
      </c>
      <c r="H69" s="24" t="s">
        <v>21</v>
      </c>
      <c r="I69" s="25">
        <v>46143</v>
      </c>
      <c r="J69" s="24" t="s">
        <v>291</v>
      </c>
      <c r="K69" s="24">
        <v>995540265</v>
      </c>
      <c r="L69" s="24" t="s">
        <v>292</v>
      </c>
      <c r="M69" s="72" t="str">
        <f>Productividad.[[#This Row],[Ejecutivo]]</f>
        <v>Jorge Fuentes</v>
      </c>
      <c r="N69" s="72" t="str">
        <f>Productividad.[[#This Row],[DNI]]</f>
        <v>70059865</v>
      </c>
      <c r="O69" s="45" t="str" cm="1">
        <f t="array" ref="O69">IFERROR(_xlfn.IFS(Productividad.[[#This Row],[Supervisor]]="Jonathan Lapoint","Norte",Productividad.[[#This Row],[Supervisor]]="Jorge Fuentes","Norte"),"Lima")</f>
        <v>Norte</v>
      </c>
      <c r="P69" s="45" t="str">
        <f>IFERROR(VLOOKUP(Productividad.[[#This Row],[DNI]],Ejecutivos.[],12,0),"Cesado")</f>
        <v>Activo</v>
      </c>
      <c r="Q69" s="45" t="str">
        <f>IFERROR(VLOOKUP(Productividad.[[#This Row],[DNI]],Ejecutivos.[],13,0),"Cesado")</f>
        <v>SUPERVISOR</v>
      </c>
      <c r="R69" s="45" t="str">
        <f>IFERROR(VLOOKUP(Productividad.[[#This Row],[DNI]],Ejecutivos.[],14,0),"Cesado")</f>
        <v>TR12958</v>
      </c>
      <c r="S69" s="45" t="str">
        <f>IFERROR(VLOOKUP(Productividad.[[#This Row],[DNI]],Ejecutivos.[],15,0),"Cesado")</f>
        <v>SUPERVISOR</v>
      </c>
      <c r="T69" s="74"/>
      <c r="U69" s="74"/>
    </row>
    <row r="70" spans="1:21" ht="14.25" customHeight="1">
      <c r="A70" s="45" t="str">
        <f>CONCATENATE(Productividad.[[#This Row],[DNI]],Productividad.[[#This Row],[Periodo]])</f>
        <v>4704528746174</v>
      </c>
      <c r="B70" s="47">
        <v>46174</v>
      </c>
      <c r="C70" s="32" t="s">
        <v>294</v>
      </c>
      <c r="D70" s="33" t="s">
        <v>52</v>
      </c>
      <c r="E70" s="34" t="s">
        <v>42</v>
      </c>
      <c r="F70" s="34" t="s">
        <v>170</v>
      </c>
      <c r="G70" s="34" t="s">
        <v>295</v>
      </c>
      <c r="H70" s="34" t="s">
        <v>154</v>
      </c>
      <c r="I70" s="35">
        <v>46143</v>
      </c>
      <c r="J70" s="34" t="s">
        <v>296</v>
      </c>
      <c r="K70" s="34">
        <v>986274028</v>
      </c>
      <c r="L70" s="29" t="s">
        <v>292</v>
      </c>
      <c r="M70" s="72" t="str">
        <f>Productividad.[[#This Row],[Ejecutivo]]</f>
        <v>Antoni Sifuentes</v>
      </c>
      <c r="N70" s="72" t="str">
        <f>Productividad.[[#This Row],[DNI]]</f>
        <v>47045287</v>
      </c>
      <c r="O70" s="45" t="str" cm="1">
        <f t="array" ref="O70">IFERROR(_xlfn.IFS(Productividad.[[#This Row],[Supervisor]]="Jonathan Lapoint","Norte",Productividad.[[#This Row],[Supervisor]]="Jorge Fuentes","Norte"),"Lima")</f>
        <v>Norte</v>
      </c>
      <c r="P70" s="45" t="str">
        <f>IFERROR(VLOOKUP(Productividad.[[#This Row],[DNI]],Ejecutivos.[],12,0),"Cesado")</f>
        <v>Activo</v>
      </c>
      <c r="Q70" s="45" t="str">
        <f>IFERROR(VLOOKUP(Productividad.[[#This Row],[DNI]],Ejecutivos.[],13,0),"Cesado")</f>
        <v>ND0007</v>
      </c>
      <c r="R70" s="45" t="str">
        <f>IFERROR(VLOOKUP(Productividad.[[#This Row],[DNI]],Ejecutivos.[],14,0),"Cesado")</f>
        <v>TR12975</v>
      </c>
      <c r="S70" s="45" t="str">
        <f>IFERROR(VLOOKUP(Productividad.[[#This Row],[DNI]],Ejecutivos.[],15,0),"Cesado")</f>
        <v>PN80238431092</v>
      </c>
      <c r="T70" s="74"/>
      <c r="U70" s="74"/>
    </row>
    <row r="71" spans="1:21" ht="14.25" customHeight="1">
      <c r="A71" s="45" t="str">
        <f>CONCATENATE(Productividad.[[#This Row],[DNI]],Productividad.[[#This Row],[Periodo]])</f>
        <v>00240920846174</v>
      </c>
      <c r="B71" s="47">
        <v>46174</v>
      </c>
      <c r="C71" s="27" t="s">
        <v>299</v>
      </c>
      <c r="D71" s="28" t="s">
        <v>41</v>
      </c>
      <c r="E71" s="29" t="s">
        <v>42</v>
      </c>
      <c r="F71" s="29" t="s">
        <v>152</v>
      </c>
      <c r="G71" s="29" t="s">
        <v>43</v>
      </c>
      <c r="H71" s="29" t="s">
        <v>184</v>
      </c>
      <c r="I71" s="30">
        <v>46143</v>
      </c>
      <c r="J71" s="29" t="s">
        <v>300</v>
      </c>
      <c r="K71" s="29">
        <v>939986055</v>
      </c>
      <c r="L71" s="29" t="s">
        <v>292</v>
      </c>
      <c r="M71" s="72" t="str">
        <f>Productividad.[[#This Row],[Ejecutivo]]</f>
        <v>Jose Mujica</v>
      </c>
      <c r="N71" s="72" t="str">
        <f>Productividad.[[#This Row],[DNI]]</f>
        <v>002409208</v>
      </c>
      <c r="O71" s="45" t="str" cm="1">
        <f t="array" ref="O71">IFERROR(_xlfn.IFS(Productividad.[[#This Row],[Supervisor]]="Jonathan Lapoint","Norte",Productividad.[[#This Row],[Supervisor]]="Jorge Fuentes","Norte"),"Lima")</f>
        <v>Norte</v>
      </c>
      <c r="P71" s="45" t="str">
        <f>IFERROR(VLOOKUP(Productividad.[[#This Row],[DNI]],Ejecutivos.[],12,0),"Cesado")</f>
        <v>Activo</v>
      </c>
      <c r="Q71" s="45" t="str">
        <f>IFERROR(VLOOKUP(Productividad.[[#This Row],[DNI]],Ejecutivos.[],13,0),"Cesado")</f>
        <v>ND0026</v>
      </c>
      <c r="R71" s="45" t="str">
        <f>IFERROR(VLOOKUP(Productividad.[[#This Row],[DNI]],Ejecutivos.[],14,0),"Cesado")</f>
        <v>TR12966</v>
      </c>
      <c r="S71" s="45" t="str">
        <f>IFERROR(VLOOKUP(Productividad.[[#This Row],[DNI]],Ejecutivos.[],15,0),"Cesado")</f>
        <v>PN06216A21813</v>
      </c>
      <c r="T71" s="74"/>
      <c r="U71" s="74"/>
    </row>
    <row r="72" spans="1:21" ht="14.25" customHeight="1">
      <c r="A72" s="45" t="str">
        <f>CONCATENATE(Productividad.[[#This Row],[DNI]],Productividad.[[#This Row],[Periodo]])</f>
        <v>7463612146174</v>
      </c>
      <c r="B72" s="47">
        <v>46174</v>
      </c>
      <c r="C72" s="27" t="s">
        <v>710</v>
      </c>
      <c r="D72" s="28" t="s">
        <v>709</v>
      </c>
      <c r="E72" s="29" t="s">
        <v>42</v>
      </c>
      <c r="F72" s="29" t="s">
        <v>152</v>
      </c>
      <c r="G72" s="78" t="s">
        <v>711</v>
      </c>
      <c r="H72" s="34" t="s">
        <v>154</v>
      </c>
      <c r="I72" s="30">
        <v>46174</v>
      </c>
      <c r="J72" s="78" t="s">
        <v>708</v>
      </c>
      <c r="K72" s="78">
        <v>965476324</v>
      </c>
      <c r="L72" s="29" t="s">
        <v>322</v>
      </c>
      <c r="M72" s="72" t="str">
        <f>Productividad.[[#This Row],[Ejecutivo]]</f>
        <v>Jossue Martos</v>
      </c>
      <c r="N72" s="72" t="str">
        <f>Productividad.[[#This Row],[DNI]]</f>
        <v>74636121</v>
      </c>
      <c r="O72" s="45" t="str" cm="1">
        <f t="array" ref="O72">IFERROR(_xlfn.IFS(Productividad.[[#This Row],[Supervisor]]="Jonathan Lapoint","Norte",Productividad.[[#This Row],[Supervisor]]="Jorge Fuentes","Norte"),"Lima")</f>
        <v>Norte</v>
      </c>
      <c r="P72" s="45" t="str">
        <f>IFERROR(VLOOKUP(Productividad.[[#This Row],[DNI]],Ejecutivos.[],12,0),"Cesado")</f>
        <v>Activo</v>
      </c>
      <c r="Q72" s="45" t="str">
        <f>IFERROR(VLOOKUP(Productividad.[[#This Row],[DNI]],Ejecutivos.[],13,0),"Cesado")</f>
        <v>ND0048</v>
      </c>
      <c r="R72" s="45" t="str">
        <f>IFERROR(VLOOKUP(Productividad.[[#This Row],[DNI]],Ejecutivos.[],14,0),"Cesado")</f>
        <v>FALTA</v>
      </c>
      <c r="S72" s="45" t="str">
        <f>IFERROR(VLOOKUP(Productividad.[[#This Row],[DNI]],Ejecutivos.[],15,0),"Cesado")</f>
        <v>FALTA</v>
      </c>
      <c r="T72" s="74"/>
      <c r="U72" s="74"/>
    </row>
    <row r="73" spans="1:21" ht="14.25" customHeight="1">
      <c r="A73" s="45" t="str">
        <f>CONCATENATE(Productividad.[[#This Row],[DNI]],Productividad.[[#This Row],[Periodo]])</f>
        <v>7747788346174</v>
      </c>
      <c r="B73" s="47">
        <v>46174</v>
      </c>
      <c r="C73" s="27" t="s">
        <v>306</v>
      </c>
      <c r="D73" s="28" t="s">
        <v>307</v>
      </c>
      <c r="E73" s="29" t="s">
        <v>42</v>
      </c>
      <c r="F73" s="29" t="s">
        <v>154</v>
      </c>
      <c r="G73" s="29" t="s">
        <v>308</v>
      </c>
      <c r="H73" s="29" t="s">
        <v>184</v>
      </c>
      <c r="I73" s="30">
        <v>46143</v>
      </c>
      <c r="J73" s="29" t="s">
        <v>309</v>
      </c>
      <c r="K73" s="29">
        <v>985000382</v>
      </c>
      <c r="L73" s="29" t="s">
        <v>292</v>
      </c>
      <c r="M73" s="72" t="str">
        <f>Productividad.[[#This Row],[Ejecutivo]]</f>
        <v>Junior Henriquez</v>
      </c>
      <c r="N73" s="72" t="str">
        <f>Productividad.[[#This Row],[DNI]]</f>
        <v>77477883</v>
      </c>
      <c r="O73" s="45" t="str" cm="1">
        <f t="array" ref="O73">IFERROR(_xlfn.IFS(Productividad.[[#This Row],[Supervisor]]="Jonathan Lapoint","Norte",Productividad.[[#This Row],[Supervisor]]="Jorge Fuentes","Norte"),"Lima")</f>
        <v>Norte</v>
      </c>
      <c r="P73" s="45" t="str">
        <f>IFERROR(VLOOKUP(Productividad.[[#This Row],[DNI]],Ejecutivos.[],12,0),"Cesado")</f>
        <v>Activo</v>
      </c>
      <c r="Q73" s="45" t="str">
        <f>IFERROR(VLOOKUP(Productividad.[[#This Row],[DNI]],Ejecutivos.[],13,0),"Cesado")</f>
        <v>ND0027</v>
      </c>
      <c r="R73" s="45" t="str">
        <f>IFERROR(VLOOKUP(Productividad.[[#This Row],[DNI]],Ejecutivos.[],14,0),"Cesado")</f>
        <v>TR12963</v>
      </c>
      <c r="S73" s="45" t="str">
        <f>IFERROR(VLOOKUP(Productividad.[[#This Row],[DNI]],Ejecutivos.[],15,0),"Cesado")</f>
        <v>PN04219J40073</v>
      </c>
      <c r="T73" s="74"/>
      <c r="U73" s="74"/>
    </row>
    <row r="74" spans="1:21" ht="14.25" customHeight="1">
      <c r="A74" s="45" t="str">
        <f>CONCATENATE(Productividad.[[#This Row],[DNI]],Productividad.[[#This Row],[Periodo]])</f>
        <v>7496115146174</v>
      </c>
      <c r="B74" s="47">
        <v>46174</v>
      </c>
      <c r="C74" s="27" t="s">
        <v>312</v>
      </c>
      <c r="D74" s="28" t="s">
        <v>313</v>
      </c>
      <c r="E74" s="29" t="s">
        <v>42</v>
      </c>
      <c r="F74" s="29" t="s">
        <v>154</v>
      </c>
      <c r="G74" s="29" t="s">
        <v>314</v>
      </c>
      <c r="H74" s="29" t="s">
        <v>184</v>
      </c>
      <c r="I74" s="30">
        <v>46143</v>
      </c>
      <c r="J74" s="29" t="s">
        <v>315</v>
      </c>
      <c r="K74" s="29">
        <v>944199990</v>
      </c>
      <c r="L74" s="29" t="s">
        <v>292</v>
      </c>
      <c r="M74" s="72" t="str">
        <f>Productividad.[[#This Row],[Ejecutivo]]</f>
        <v>Manuel Avalos</v>
      </c>
      <c r="N74" s="72" t="str">
        <f>Productividad.[[#This Row],[DNI]]</f>
        <v>74961151</v>
      </c>
      <c r="O74" s="45" t="str" cm="1">
        <f t="array" ref="O74">IFERROR(_xlfn.IFS(Productividad.[[#This Row],[Supervisor]]="Jonathan Lapoint","Norte",Productividad.[[#This Row],[Supervisor]]="Jorge Fuentes","Norte"),"Lima")</f>
        <v>Norte</v>
      </c>
      <c r="P74" s="45" t="str">
        <f>IFERROR(VLOOKUP(Productividad.[[#This Row],[DNI]],Ejecutivos.[],12,0),"Cesado")</f>
        <v>Activo</v>
      </c>
      <c r="Q74" s="45" t="str">
        <f>IFERROR(VLOOKUP(Productividad.[[#This Row],[DNI]],Ejecutivos.[],13,0),"Cesado")</f>
        <v>ND0028</v>
      </c>
      <c r="R74" s="45" t="str">
        <f>IFERROR(VLOOKUP(Productividad.[[#This Row],[DNI]],Ejecutivos.[],14,0),"Cesado")</f>
        <v>TR12964</v>
      </c>
      <c r="S74" s="45" t="str">
        <f>IFERROR(VLOOKUP(Productividad.[[#This Row],[DNI]],Ejecutivos.[],15,0),"Cesado")</f>
        <v>PN14229830242</v>
      </c>
      <c r="T74" s="74"/>
      <c r="U74" s="74"/>
    </row>
    <row r="75" spans="1:21" ht="14.25" customHeight="1">
      <c r="A75" s="45" t="str">
        <f>CONCATENATE(Productividad.[[#This Row],[DNI]],Productividad.[[#This Row],[Periodo]])</f>
        <v>7516746246174</v>
      </c>
      <c r="B75" s="47">
        <v>46174</v>
      </c>
      <c r="C75" s="27" t="s">
        <v>318</v>
      </c>
      <c r="D75" s="28" t="s">
        <v>319</v>
      </c>
      <c r="E75" s="29" t="s">
        <v>42</v>
      </c>
      <c r="F75" s="29" t="s">
        <v>154</v>
      </c>
      <c r="G75" s="29" t="s">
        <v>320</v>
      </c>
      <c r="H75" s="29" t="s">
        <v>184</v>
      </c>
      <c r="I75" s="30">
        <v>46143</v>
      </c>
      <c r="J75" s="29" t="s">
        <v>321</v>
      </c>
      <c r="K75" s="29">
        <v>950508800</v>
      </c>
      <c r="L75" s="29" t="s">
        <v>322</v>
      </c>
      <c r="M75" s="72" t="str">
        <f>Productividad.[[#This Row],[Ejecutivo]]</f>
        <v>Milagros Zuniga</v>
      </c>
      <c r="N75" s="72" t="str">
        <f>Productividad.[[#This Row],[DNI]]</f>
        <v>75167462</v>
      </c>
      <c r="O75" s="45" t="str" cm="1">
        <f t="array" ref="O75">IFERROR(_xlfn.IFS(Productividad.[[#This Row],[Supervisor]]="Jonathan Lapoint","Norte",Productividad.[[#This Row],[Supervisor]]="Jorge Fuentes","Norte"),"Lima")</f>
        <v>Norte</v>
      </c>
      <c r="P75" s="45" t="str">
        <f>IFERROR(VLOOKUP(Productividad.[[#This Row],[DNI]],Ejecutivos.[],12,0),"Cesado")</f>
        <v>Activo</v>
      </c>
      <c r="Q75" s="45" t="str">
        <f>IFERROR(VLOOKUP(Productividad.[[#This Row],[DNI]],Ejecutivos.[],13,0),"Cesado")</f>
        <v>ND0029</v>
      </c>
      <c r="R75" s="45" t="str">
        <f>IFERROR(VLOOKUP(Productividad.[[#This Row],[DNI]],Ejecutivos.[],14,0),"Cesado")</f>
        <v>TR12957</v>
      </c>
      <c r="S75" s="45" t="str">
        <f>IFERROR(VLOOKUP(Productividad.[[#This Row],[DNI]],Ejecutivos.[],15,0),"Cesado")</f>
        <v>PN14229630756</v>
      </c>
      <c r="T75" s="74"/>
      <c r="U75" s="74"/>
    </row>
    <row r="76" spans="1:21" ht="14.25" customHeight="1">
      <c r="A76" s="45" t="str">
        <f>CONCATENATE(Productividad.[[#This Row],[DNI]],Productividad.[[#This Row],[Periodo]])</f>
        <v>7080015246174</v>
      </c>
      <c r="B76" s="47">
        <v>46174</v>
      </c>
      <c r="C76" s="32" t="s">
        <v>325</v>
      </c>
      <c r="D76" s="33" t="s">
        <v>326</v>
      </c>
      <c r="E76" s="34" t="s">
        <v>42</v>
      </c>
      <c r="F76" s="34" t="s">
        <v>154</v>
      </c>
      <c r="G76" s="34" t="s">
        <v>327</v>
      </c>
      <c r="H76" s="34" t="s">
        <v>184</v>
      </c>
      <c r="I76" s="35">
        <v>46143</v>
      </c>
      <c r="J76" s="34" t="s">
        <v>328</v>
      </c>
      <c r="K76" s="34">
        <v>967238595</v>
      </c>
      <c r="L76" s="29" t="s">
        <v>292</v>
      </c>
      <c r="M76" s="72" t="str">
        <f>Productividad.[[#This Row],[Ejecutivo]]</f>
        <v>Nelson Deza</v>
      </c>
      <c r="N76" s="72" t="str">
        <f>Productividad.[[#This Row],[DNI]]</f>
        <v>70800152</v>
      </c>
      <c r="O76" s="45" t="str" cm="1">
        <f t="array" ref="O76">IFERROR(_xlfn.IFS(Productividad.[[#This Row],[Supervisor]]="Jonathan Lapoint","Norte",Productividad.[[#This Row],[Supervisor]]="Jorge Fuentes","Norte"),"Lima")</f>
        <v>Norte</v>
      </c>
      <c r="P76" s="45" t="str">
        <f>IFERROR(VLOOKUP(Productividad.[[#This Row],[DNI]],Ejecutivos.[],12,0),"Cesado")</f>
        <v>Activo</v>
      </c>
      <c r="Q76" s="45" t="str">
        <f>IFERROR(VLOOKUP(Productividad.[[#This Row],[DNI]],Ejecutivos.[],13,0),"Cesado")</f>
        <v>ND0030</v>
      </c>
      <c r="R76" s="45" t="str">
        <f>IFERROR(VLOOKUP(Productividad.[[#This Row],[DNI]],Ejecutivos.[],14,0),"Cesado")</f>
        <v>TR12962</v>
      </c>
      <c r="S76" s="45" t="str">
        <f>IFERROR(VLOOKUP(Productividad.[[#This Row],[DNI]],Ejecutivos.[],15,0),"Cesado")</f>
        <v>PN14229730793</v>
      </c>
      <c r="T76" s="74"/>
      <c r="U76" s="74"/>
    </row>
  </sheetData>
  <phoneticPr fontId="6" type="noConversion"/>
  <conditionalFormatting sqref="G2:G37">
    <cfRule type="duplicateValues" dxfId="357" priority="67"/>
  </conditionalFormatting>
  <conditionalFormatting sqref="J2:K37">
    <cfRule type="duplicateValues" dxfId="356" priority="69"/>
  </conditionalFormatting>
  <conditionalFormatting sqref="C2:C37">
    <cfRule type="duplicateValues" dxfId="355" priority="71"/>
  </conditionalFormatting>
  <conditionalFormatting sqref="D2:D37">
    <cfRule type="duplicateValues" dxfId="354" priority="73"/>
  </conditionalFormatting>
  <conditionalFormatting sqref="C38:C76">
    <cfRule type="duplicateValues" dxfId="353" priority="187"/>
  </conditionalFormatting>
  <conditionalFormatting sqref="D38:D76">
    <cfRule type="duplicateValues" dxfId="352" priority="188"/>
  </conditionalFormatting>
  <conditionalFormatting sqref="G38:G76">
    <cfRule type="duplicateValues" dxfId="351" priority="189"/>
  </conditionalFormatting>
  <conditionalFormatting sqref="J38:K76">
    <cfRule type="duplicateValues" dxfId="350" priority="190"/>
  </conditionalFormatting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C632-D257-4BA8-A109-FE06B397EF93}">
  <sheetPr codeName="Hoja4"/>
  <dimension ref="A1:W42"/>
  <sheetViews>
    <sheetView showGridLines="0" zoomScale="85" zoomScaleNormal="85" workbookViewId="0">
      <pane ySplit="1" topLeftCell="A2" activePane="bottomLeft" state="frozen"/>
      <selection activeCell="T3" sqref="T3"/>
      <selection pane="bottomLeft" activeCell="A19" sqref="A19:H19"/>
    </sheetView>
  </sheetViews>
  <sheetFormatPr baseColWidth="10" defaultColWidth="11.5703125" defaultRowHeight="14.25" customHeight="1" outlineLevelCol="1"/>
  <cols>
    <col min="1" max="1" width="15.7109375" style="14" customWidth="1"/>
    <col min="2" max="2" width="17.5703125" style="14" customWidth="1"/>
    <col min="3" max="3" width="41.5703125" style="14" bestFit="1" customWidth="1"/>
    <col min="4" max="4" width="17.5703125" style="14" customWidth="1" outlineLevel="1"/>
    <col min="5" max="5" width="40.7109375" style="14" customWidth="1" outlineLevel="1"/>
    <col min="6" max="8" width="15.7109375" style="14" customWidth="1"/>
    <col min="9" max="16384" width="11.5703125" style="14"/>
  </cols>
  <sheetData>
    <row r="1" spans="1:23" ht="20.25" customHeight="1">
      <c r="A1" s="15" t="s">
        <v>130</v>
      </c>
      <c r="B1" s="16" t="s">
        <v>131</v>
      </c>
      <c r="C1" s="16" t="s">
        <v>132</v>
      </c>
      <c r="D1" s="17" t="s">
        <v>134</v>
      </c>
      <c r="E1" s="17" t="s">
        <v>135</v>
      </c>
      <c r="F1" s="17" t="s">
        <v>136</v>
      </c>
      <c r="G1" s="17" t="s">
        <v>137</v>
      </c>
      <c r="H1" s="37" t="s">
        <v>29</v>
      </c>
    </row>
    <row r="2" spans="1:23" ht="14.25" customHeight="1">
      <c r="A2" s="22" t="s">
        <v>289</v>
      </c>
      <c r="B2" s="24" t="s">
        <v>21</v>
      </c>
      <c r="C2" s="24" t="s">
        <v>290</v>
      </c>
      <c r="D2" s="25">
        <v>46143</v>
      </c>
      <c r="E2" s="24" t="s">
        <v>291</v>
      </c>
      <c r="F2" s="24">
        <v>995540265</v>
      </c>
      <c r="G2" s="24" t="s">
        <v>122</v>
      </c>
      <c r="H2" s="24" t="s">
        <v>362</v>
      </c>
    </row>
    <row r="3" spans="1:23" ht="14.25" customHeight="1">
      <c r="A3" s="27" t="s">
        <v>164</v>
      </c>
      <c r="B3" s="29" t="s">
        <v>154</v>
      </c>
      <c r="C3" s="29" t="s">
        <v>104</v>
      </c>
      <c r="D3" s="30">
        <v>46143</v>
      </c>
      <c r="E3" s="29" t="s">
        <v>165</v>
      </c>
      <c r="F3" s="29">
        <v>927254247</v>
      </c>
      <c r="G3" s="29" t="s">
        <v>122</v>
      </c>
      <c r="H3" s="29" t="s">
        <v>362</v>
      </c>
    </row>
    <row r="4" spans="1:23" ht="14.25" customHeight="1">
      <c r="A4" s="27" t="s">
        <v>173</v>
      </c>
      <c r="B4" s="29" t="s">
        <v>154</v>
      </c>
      <c r="C4" s="29" t="s">
        <v>81</v>
      </c>
      <c r="D4" s="30">
        <v>46143</v>
      </c>
      <c r="E4" s="29" t="s">
        <v>174</v>
      </c>
      <c r="F4" s="29">
        <v>972726333</v>
      </c>
      <c r="G4" s="29" t="s">
        <v>122</v>
      </c>
      <c r="H4" s="29" t="s">
        <v>362</v>
      </c>
    </row>
    <row r="5" spans="1:23" ht="14.25" customHeight="1">
      <c r="A5" s="27" t="s">
        <v>177</v>
      </c>
      <c r="B5" s="29" t="s">
        <v>154</v>
      </c>
      <c r="C5" s="29" t="s">
        <v>36</v>
      </c>
      <c r="D5" s="30">
        <v>46143</v>
      </c>
      <c r="E5" s="29" t="s">
        <v>178</v>
      </c>
      <c r="F5" s="29">
        <v>907494902</v>
      </c>
      <c r="G5" s="29" t="s">
        <v>122</v>
      </c>
      <c r="H5" s="29" t="s">
        <v>362</v>
      </c>
    </row>
    <row r="6" spans="1:23" ht="14.25" customHeight="1">
      <c r="A6" s="27" t="s">
        <v>223</v>
      </c>
      <c r="B6" s="29" t="s">
        <v>154</v>
      </c>
      <c r="C6" s="29" t="s">
        <v>53</v>
      </c>
      <c r="D6" s="30">
        <v>46143</v>
      </c>
      <c r="E6" s="29" t="s">
        <v>224</v>
      </c>
      <c r="F6" s="29">
        <v>944290819</v>
      </c>
      <c r="G6" s="29" t="s">
        <v>122</v>
      </c>
      <c r="H6" s="29" t="s">
        <v>362</v>
      </c>
    </row>
    <row r="7" spans="1:23" ht="14.25" customHeight="1">
      <c r="A7" s="27" t="s">
        <v>233</v>
      </c>
      <c r="B7" s="29" t="s">
        <v>154</v>
      </c>
      <c r="C7" s="29" t="s">
        <v>65</v>
      </c>
      <c r="D7" s="30">
        <v>46143</v>
      </c>
      <c r="E7" s="29" t="s">
        <v>234</v>
      </c>
      <c r="F7" s="29">
        <v>964152198</v>
      </c>
      <c r="G7" s="29" t="s">
        <v>122</v>
      </c>
      <c r="H7" s="29" t="s">
        <v>362</v>
      </c>
    </row>
    <row r="8" spans="1:23" ht="14.25" customHeight="1">
      <c r="A8" s="27" t="s">
        <v>294</v>
      </c>
      <c r="B8" s="29" t="s">
        <v>154</v>
      </c>
      <c r="C8" s="29" t="s">
        <v>295</v>
      </c>
      <c r="D8" s="30">
        <v>46143</v>
      </c>
      <c r="E8" s="29" t="s">
        <v>296</v>
      </c>
      <c r="F8" s="29">
        <v>986274028</v>
      </c>
      <c r="G8" s="29" t="s">
        <v>122</v>
      </c>
      <c r="H8" s="29" t="s">
        <v>362</v>
      </c>
    </row>
    <row r="9" spans="1:23" ht="14.25" customHeight="1">
      <c r="A9" s="27" t="s">
        <v>242</v>
      </c>
      <c r="B9" s="29" t="s">
        <v>154</v>
      </c>
      <c r="C9" s="29" t="s">
        <v>99</v>
      </c>
      <c r="D9" s="30">
        <v>46143</v>
      </c>
      <c r="E9" s="29" t="s">
        <v>243</v>
      </c>
      <c r="F9" s="29">
        <v>995963073</v>
      </c>
      <c r="G9" s="29" t="s">
        <v>122</v>
      </c>
      <c r="H9" s="29" t="s">
        <v>362</v>
      </c>
    </row>
    <row r="10" spans="1:23" ht="14.25" customHeight="1">
      <c r="A10" s="27" t="s">
        <v>168</v>
      </c>
      <c r="B10" s="29" t="s">
        <v>154</v>
      </c>
      <c r="C10" s="29" t="s">
        <v>171</v>
      </c>
      <c r="D10" s="30">
        <v>46143</v>
      </c>
      <c r="E10" s="29" t="s">
        <v>172</v>
      </c>
      <c r="F10" s="29">
        <v>923835972</v>
      </c>
      <c r="G10" s="29" t="s">
        <v>122</v>
      </c>
      <c r="H10" s="29" t="s">
        <v>362</v>
      </c>
      <c r="T10" s="14" t="s">
        <v>363</v>
      </c>
      <c r="U10" s="14" t="s">
        <v>364</v>
      </c>
      <c r="V10" s="14" t="s">
        <v>365</v>
      </c>
      <c r="W10" s="14" t="s">
        <v>366</v>
      </c>
    </row>
    <row r="11" spans="1:23" ht="14.25" customHeight="1">
      <c r="A11" s="27" t="s">
        <v>158</v>
      </c>
      <c r="B11" s="29" t="s">
        <v>154</v>
      </c>
      <c r="C11" s="29" t="s">
        <v>160</v>
      </c>
      <c r="D11" s="30">
        <v>46143</v>
      </c>
      <c r="E11" s="29" t="s">
        <v>161</v>
      </c>
      <c r="F11" s="29">
        <v>927150861</v>
      </c>
      <c r="G11" s="29" t="s">
        <v>122</v>
      </c>
      <c r="H11" s="29" t="s">
        <v>362</v>
      </c>
      <c r="T11" s="14">
        <v>6</v>
      </c>
      <c r="U11" s="14">
        <f>(60/T11)*W11</f>
        <v>50</v>
      </c>
      <c r="V11" s="14">
        <f>U11*60</f>
        <v>3000</v>
      </c>
      <c r="W11" s="14">
        <v>5</v>
      </c>
    </row>
    <row r="12" spans="1:23" ht="14.25" customHeight="1">
      <c r="A12" s="27" t="s">
        <v>150</v>
      </c>
      <c r="B12" s="29" t="s">
        <v>154</v>
      </c>
      <c r="C12" s="29" t="s">
        <v>153</v>
      </c>
      <c r="D12" s="30">
        <v>46143</v>
      </c>
      <c r="E12" s="29" t="s">
        <v>155</v>
      </c>
      <c r="F12" s="29">
        <v>981463333</v>
      </c>
      <c r="G12" s="29" t="s">
        <v>122</v>
      </c>
      <c r="H12" s="29" t="s">
        <v>362</v>
      </c>
    </row>
    <row r="13" spans="1:23" ht="14.25" customHeight="1">
      <c r="A13" s="22" t="s">
        <v>213</v>
      </c>
      <c r="B13" s="24" t="s">
        <v>21</v>
      </c>
      <c r="C13" s="24" t="s">
        <v>214</v>
      </c>
      <c r="D13" s="25">
        <v>46143</v>
      </c>
      <c r="E13" s="24" t="s">
        <v>215</v>
      </c>
      <c r="F13" s="24">
        <v>924525579</v>
      </c>
      <c r="G13" s="24" t="s">
        <v>122</v>
      </c>
      <c r="H13" s="24" t="s">
        <v>367</v>
      </c>
    </row>
    <row r="14" spans="1:23" ht="14.25" customHeight="1">
      <c r="A14" s="27" t="s">
        <v>217</v>
      </c>
      <c r="B14" s="29" t="s">
        <v>184</v>
      </c>
      <c r="C14" s="29" t="s">
        <v>219</v>
      </c>
      <c r="D14" s="30">
        <v>46143</v>
      </c>
      <c r="E14" s="29" t="s">
        <v>220</v>
      </c>
      <c r="F14" s="29">
        <v>950233606</v>
      </c>
      <c r="G14" s="29" t="s">
        <v>122</v>
      </c>
      <c r="H14" s="29" t="s">
        <v>367</v>
      </c>
    </row>
    <row r="15" spans="1:23" ht="14.25" customHeight="1">
      <c r="A15" s="27" t="s">
        <v>331</v>
      </c>
      <c r="B15" s="29" t="s">
        <v>184</v>
      </c>
      <c r="C15" s="29" t="s">
        <v>333</v>
      </c>
      <c r="D15" s="30">
        <v>46143</v>
      </c>
      <c r="E15" s="29" t="s">
        <v>334</v>
      </c>
      <c r="F15" s="29">
        <v>951435167</v>
      </c>
      <c r="G15" s="29" t="s">
        <v>122</v>
      </c>
      <c r="H15" s="29" t="s">
        <v>367</v>
      </c>
    </row>
    <row r="16" spans="1:23" ht="14.25" customHeight="1">
      <c r="A16" s="27" t="s">
        <v>198</v>
      </c>
      <c r="B16" s="29" t="s">
        <v>184</v>
      </c>
      <c r="C16" s="29" t="s">
        <v>49</v>
      </c>
      <c r="D16" s="30">
        <v>46143</v>
      </c>
      <c r="E16" s="29" t="s">
        <v>199</v>
      </c>
      <c r="F16" s="29">
        <v>946845882</v>
      </c>
      <c r="G16" s="29" t="s">
        <v>122</v>
      </c>
      <c r="H16" s="29" t="s">
        <v>367</v>
      </c>
    </row>
    <row r="17" spans="1:8" ht="14.25" customHeight="1">
      <c r="A17" s="27" t="s">
        <v>181</v>
      </c>
      <c r="B17" s="29" t="s">
        <v>184</v>
      </c>
      <c r="C17" s="29" t="s">
        <v>183</v>
      </c>
      <c r="D17" s="30">
        <v>46143</v>
      </c>
      <c r="E17" s="29" t="s">
        <v>185</v>
      </c>
      <c r="F17" s="29">
        <v>937734210</v>
      </c>
      <c r="G17" s="29" t="s">
        <v>122</v>
      </c>
      <c r="H17" s="29" t="s">
        <v>367</v>
      </c>
    </row>
    <row r="18" spans="1:8" ht="14.25" customHeight="1">
      <c r="A18" s="27" t="s">
        <v>188</v>
      </c>
      <c r="B18" s="29" t="s">
        <v>184</v>
      </c>
      <c r="C18" s="29" t="s">
        <v>190</v>
      </c>
      <c r="D18" s="30">
        <v>46143</v>
      </c>
      <c r="E18" s="29" t="s">
        <v>191</v>
      </c>
      <c r="F18" s="29">
        <v>942727743</v>
      </c>
      <c r="G18" s="29" t="s">
        <v>122</v>
      </c>
      <c r="H18" s="29" t="s">
        <v>367</v>
      </c>
    </row>
    <row r="19" spans="1:8" ht="14.25" customHeight="1">
      <c r="A19" s="72" t="s">
        <v>202</v>
      </c>
      <c r="B19" s="73" t="s">
        <v>184</v>
      </c>
      <c r="C19" s="73" t="s">
        <v>204</v>
      </c>
      <c r="D19" s="94">
        <v>46157</v>
      </c>
      <c r="E19" s="73" t="s">
        <v>205</v>
      </c>
      <c r="F19" s="73">
        <v>991029300</v>
      </c>
      <c r="G19" s="73" t="s">
        <v>122</v>
      </c>
      <c r="H19" s="73" t="s">
        <v>367</v>
      </c>
    </row>
    <row r="20" spans="1:8" ht="14.25" customHeight="1">
      <c r="A20" s="22" t="s">
        <v>194</v>
      </c>
      <c r="B20" s="24" t="s">
        <v>21</v>
      </c>
      <c r="C20" s="24" t="s">
        <v>195</v>
      </c>
      <c r="D20" s="25">
        <v>46143</v>
      </c>
      <c r="E20" s="24" t="s">
        <v>196</v>
      </c>
      <c r="F20" s="24">
        <v>940975389</v>
      </c>
      <c r="G20" s="24" t="s">
        <v>122</v>
      </c>
      <c r="H20" s="24" t="s">
        <v>368</v>
      </c>
    </row>
    <row r="21" spans="1:8" ht="14.25" customHeight="1">
      <c r="A21" s="27" t="s">
        <v>338</v>
      </c>
      <c r="B21" s="29" t="s">
        <v>184</v>
      </c>
      <c r="C21" s="29" t="s">
        <v>340</v>
      </c>
      <c r="D21" s="30">
        <v>46143</v>
      </c>
      <c r="E21" s="29" t="s">
        <v>341</v>
      </c>
      <c r="F21" s="29">
        <v>914528647</v>
      </c>
      <c r="G21" s="29" t="s">
        <v>122</v>
      </c>
      <c r="H21" s="29" t="s">
        <v>368</v>
      </c>
    </row>
    <row r="22" spans="1:8" ht="14.25" customHeight="1">
      <c r="A22" s="27" t="s">
        <v>207</v>
      </c>
      <c r="B22" s="29" t="s">
        <v>184</v>
      </c>
      <c r="C22" s="29" t="s">
        <v>209</v>
      </c>
      <c r="D22" s="30">
        <v>46143</v>
      </c>
      <c r="E22" s="29" t="s">
        <v>210</v>
      </c>
      <c r="F22" s="29">
        <v>947118814</v>
      </c>
      <c r="G22" s="29" t="s">
        <v>122</v>
      </c>
      <c r="H22" s="29" t="s">
        <v>368</v>
      </c>
    </row>
    <row r="23" spans="1:8" ht="14.25" customHeight="1">
      <c r="A23" s="27" t="s">
        <v>344</v>
      </c>
      <c r="B23" s="29" t="s">
        <v>184</v>
      </c>
      <c r="C23" s="29" t="s">
        <v>346</v>
      </c>
      <c r="D23" s="30">
        <v>46143</v>
      </c>
      <c r="E23" s="29" t="s">
        <v>347</v>
      </c>
      <c r="F23" s="29">
        <v>914532878</v>
      </c>
      <c r="G23" s="29" t="s">
        <v>122</v>
      </c>
      <c r="H23" s="29" t="s">
        <v>368</v>
      </c>
    </row>
    <row r="24" spans="1:8" ht="14.25" customHeight="1">
      <c r="A24" s="27" t="s">
        <v>227</v>
      </c>
      <c r="B24" s="29" t="s">
        <v>184</v>
      </c>
      <c r="C24" s="29" t="s">
        <v>87</v>
      </c>
      <c r="D24" s="30">
        <v>46143</v>
      </c>
      <c r="E24" s="29" t="s">
        <v>369</v>
      </c>
      <c r="F24" s="29">
        <v>992165027</v>
      </c>
      <c r="G24" s="29" t="s">
        <v>122</v>
      </c>
      <c r="H24" s="29" t="s">
        <v>368</v>
      </c>
    </row>
    <row r="25" spans="1:8" ht="14.25" customHeight="1">
      <c r="A25" s="27" t="s">
        <v>350</v>
      </c>
      <c r="B25" s="29" t="s">
        <v>184</v>
      </c>
      <c r="C25" s="29" t="s">
        <v>352</v>
      </c>
      <c r="D25" s="30">
        <v>46143</v>
      </c>
      <c r="E25" s="29" t="s">
        <v>353</v>
      </c>
      <c r="F25" s="29">
        <v>914506187</v>
      </c>
      <c r="G25" s="29" t="s">
        <v>122</v>
      </c>
      <c r="H25" s="29" t="s">
        <v>368</v>
      </c>
    </row>
    <row r="26" spans="1:8" ht="14.25" customHeight="1">
      <c r="A26" s="27" t="s">
        <v>356</v>
      </c>
      <c r="B26" s="29" t="s">
        <v>184</v>
      </c>
      <c r="C26" s="29" t="s">
        <v>358</v>
      </c>
      <c r="D26" s="30">
        <v>46143</v>
      </c>
      <c r="E26" s="29" t="s">
        <v>359</v>
      </c>
      <c r="F26" s="29">
        <v>914562666</v>
      </c>
      <c r="G26" s="29" t="s">
        <v>122</v>
      </c>
      <c r="H26" s="29" t="s">
        <v>368</v>
      </c>
    </row>
    <row r="27" spans="1:8" ht="14.25" customHeight="1">
      <c r="A27" s="22" t="s">
        <v>144</v>
      </c>
      <c r="B27" s="24" t="s">
        <v>21</v>
      </c>
      <c r="C27" s="24" t="s">
        <v>145</v>
      </c>
      <c r="D27" s="25">
        <v>46143</v>
      </c>
      <c r="E27" s="24" t="s">
        <v>146</v>
      </c>
      <c r="F27" s="24">
        <v>941341890</v>
      </c>
      <c r="G27" s="24" t="s">
        <v>122</v>
      </c>
      <c r="H27" s="24" t="s">
        <v>370</v>
      </c>
    </row>
    <row r="28" spans="1:8" ht="14.25" customHeight="1">
      <c r="A28" s="27" t="s">
        <v>299</v>
      </c>
      <c r="B28" s="29" t="s">
        <v>184</v>
      </c>
      <c r="C28" s="29" t="s">
        <v>43</v>
      </c>
      <c r="D28" s="30">
        <v>46143</v>
      </c>
      <c r="E28" s="29" t="s">
        <v>300</v>
      </c>
      <c r="F28" s="29">
        <v>939986055</v>
      </c>
      <c r="G28" s="29" t="s">
        <v>122</v>
      </c>
      <c r="H28" s="29" t="s">
        <v>370</v>
      </c>
    </row>
    <row r="29" spans="1:8" ht="14.25" customHeight="1">
      <c r="A29" s="27" t="s">
        <v>306</v>
      </c>
      <c r="B29" s="29" t="s">
        <v>184</v>
      </c>
      <c r="C29" s="29" t="s">
        <v>308</v>
      </c>
      <c r="D29" s="30">
        <v>46143</v>
      </c>
      <c r="E29" s="29" t="s">
        <v>309</v>
      </c>
      <c r="F29" s="29">
        <v>985000382</v>
      </c>
      <c r="G29" s="29" t="s">
        <v>122</v>
      </c>
      <c r="H29" s="29" t="s">
        <v>370</v>
      </c>
    </row>
    <row r="30" spans="1:8" ht="14.25" customHeight="1">
      <c r="A30" s="27" t="s">
        <v>312</v>
      </c>
      <c r="B30" s="29" t="s">
        <v>184</v>
      </c>
      <c r="C30" s="29" t="s">
        <v>314</v>
      </c>
      <c r="D30" s="30">
        <v>46143</v>
      </c>
      <c r="E30" s="29" t="s">
        <v>315</v>
      </c>
      <c r="F30" s="29">
        <v>944199990</v>
      </c>
      <c r="G30" s="29" t="s">
        <v>122</v>
      </c>
      <c r="H30" s="29" t="s">
        <v>370</v>
      </c>
    </row>
    <row r="31" spans="1:8" ht="14.25" customHeight="1">
      <c r="A31" s="27" t="s">
        <v>318</v>
      </c>
      <c r="B31" s="29" t="s">
        <v>184</v>
      </c>
      <c r="C31" s="29" t="s">
        <v>320</v>
      </c>
      <c r="D31" s="30">
        <v>46143</v>
      </c>
      <c r="E31" s="29" t="s">
        <v>321</v>
      </c>
      <c r="F31" s="29">
        <v>950508800</v>
      </c>
      <c r="G31" s="29" t="s">
        <v>122</v>
      </c>
      <c r="H31" s="29" t="s">
        <v>370</v>
      </c>
    </row>
    <row r="32" spans="1:8" ht="14.25" customHeight="1">
      <c r="A32" s="27" t="s">
        <v>325</v>
      </c>
      <c r="B32" s="29" t="s">
        <v>184</v>
      </c>
      <c r="C32" s="29" t="s">
        <v>327</v>
      </c>
      <c r="D32" s="30">
        <v>46143</v>
      </c>
      <c r="E32" s="29" t="s">
        <v>328</v>
      </c>
      <c r="F32" s="29">
        <v>967238595</v>
      </c>
      <c r="G32" s="29" t="s">
        <v>122</v>
      </c>
      <c r="H32" s="29" t="s">
        <v>370</v>
      </c>
    </row>
    <row r="33" spans="1:8" ht="14.25" customHeight="1">
      <c r="A33" s="32" t="s">
        <v>302</v>
      </c>
      <c r="B33" s="34" t="s">
        <v>184</v>
      </c>
      <c r="C33" s="34" t="s">
        <v>304</v>
      </c>
      <c r="D33" s="35">
        <v>46143</v>
      </c>
      <c r="E33" s="34" t="s">
        <v>305</v>
      </c>
      <c r="F33" s="34">
        <v>982734757</v>
      </c>
      <c r="G33" s="29" t="s">
        <v>122</v>
      </c>
      <c r="H33" s="29" t="s">
        <v>370</v>
      </c>
    </row>
    <row r="34" spans="1:8" ht="14.25" customHeight="1">
      <c r="A34" s="27" t="s">
        <v>230</v>
      </c>
      <c r="B34" s="29" t="s">
        <v>184</v>
      </c>
      <c r="C34" s="29" t="s">
        <v>70</v>
      </c>
      <c r="D34" s="30">
        <v>46143</v>
      </c>
      <c r="E34" s="29" t="s">
        <v>231</v>
      </c>
      <c r="F34" s="29">
        <v>973824987</v>
      </c>
      <c r="G34" s="29" t="s">
        <v>122</v>
      </c>
      <c r="H34" s="29" t="s">
        <v>370</v>
      </c>
    </row>
    <row r="35" spans="1:8" ht="14.25" customHeight="1">
      <c r="A35" s="22" t="s">
        <v>237</v>
      </c>
      <c r="B35" s="24" t="s">
        <v>21</v>
      </c>
      <c r="C35" s="24" t="s">
        <v>238</v>
      </c>
      <c r="D35" s="25">
        <v>46143</v>
      </c>
      <c r="E35" s="24" t="s">
        <v>239</v>
      </c>
      <c r="F35" s="24">
        <v>934712424</v>
      </c>
      <c r="G35" s="24" t="s">
        <v>122</v>
      </c>
      <c r="H35" s="24" t="s">
        <v>371</v>
      </c>
    </row>
    <row r="36" spans="1:8" ht="14.25" customHeight="1">
      <c r="A36" s="27" t="s">
        <v>257</v>
      </c>
      <c r="B36" s="29" t="s">
        <v>184</v>
      </c>
      <c r="C36" s="29" t="s">
        <v>259</v>
      </c>
      <c r="D36" s="30">
        <v>46143</v>
      </c>
      <c r="E36" s="29" t="s">
        <v>260</v>
      </c>
      <c r="F36" s="29">
        <v>990189915</v>
      </c>
      <c r="G36" s="29" t="s">
        <v>122</v>
      </c>
      <c r="H36" s="29" t="s">
        <v>371</v>
      </c>
    </row>
    <row r="37" spans="1:8" ht="14.25" customHeight="1">
      <c r="A37" s="27" t="s">
        <v>264</v>
      </c>
      <c r="B37" s="29" t="s">
        <v>184</v>
      </c>
      <c r="C37" s="29" t="s">
        <v>266</v>
      </c>
      <c r="D37" s="30">
        <v>46143</v>
      </c>
      <c r="E37" s="29" t="s">
        <v>267</v>
      </c>
      <c r="F37" s="29">
        <v>934917447</v>
      </c>
      <c r="G37" s="29" t="s">
        <v>122</v>
      </c>
      <c r="H37" s="29" t="s">
        <v>371</v>
      </c>
    </row>
    <row r="38" spans="1:8" ht="14.25" customHeight="1">
      <c r="A38" s="27" t="s">
        <v>270</v>
      </c>
      <c r="B38" s="29" t="s">
        <v>184</v>
      </c>
      <c r="C38" s="29" t="s">
        <v>272</v>
      </c>
      <c r="D38" s="30">
        <v>46143</v>
      </c>
      <c r="E38" s="29" t="s">
        <v>273</v>
      </c>
      <c r="F38" s="29">
        <v>980946913</v>
      </c>
      <c r="G38" s="29" t="s">
        <v>122</v>
      </c>
      <c r="H38" s="29" t="s">
        <v>371</v>
      </c>
    </row>
    <row r="39" spans="1:8" ht="14.25" customHeight="1">
      <c r="A39" s="27" t="s">
        <v>277</v>
      </c>
      <c r="B39" s="29" t="s">
        <v>184</v>
      </c>
      <c r="C39" s="29" t="s">
        <v>279</v>
      </c>
      <c r="D39" s="30">
        <v>46143</v>
      </c>
      <c r="E39" s="29" t="s">
        <v>280</v>
      </c>
      <c r="F39" s="29">
        <v>900487742</v>
      </c>
      <c r="G39" s="29" t="s">
        <v>122</v>
      </c>
      <c r="H39" s="29" t="s">
        <v>371</v>
      </c>
    </row>
    <row r="40" spans="1:8" ht="14.25" customHeight="1">
      <c r="A40" s="32" t="s">
        <v>246</v>
      </c>
      <c r="B40" s="34" t="s">
        <v>184</v>
      </c>
      <c r="C40" s="34" t="s">
        <v>248</v>
      </c>
      <c r="D40" s="35">
        <v>46143</v>
      </c>
      <c r="E40" s="34" t="s">
        <v>249</v>
      </c>
      <c r="F40" s="34">
        <v>994502138</v>
      </c>
      <c r="G40" s="29" t="s">
        <v>122</v>
      </c>
      <c r="H40" s="29" t="s">
        <v>371</v>
      </c>
    </row>
    <row r="41" spans="1:8" ht="14.25" customHeight="1">
      <c r="A41" s="32" t="s">
        <v>252</v>
      </c>
      <c r="B41" s="34" t="s">
        <v>184</v>
      </c>
      <c r="C41" s="34" t="s">
        <v>254</v>
      </c>
      <c r="D41" s="35">
        <v>46143</v>
      </c>
      <c r="E41" s="34" t="s">
        <v>255</v>
      </c>
      <c r="F41" s="34">
        <v>998231125</v>
      </c>
      <c r="G41" s="29" t="s">
        <v>122</v>
      </c>
      <c r="H41" s="29" t="s">
        <v>371</v>
      </c>
    </row>
    <row r="42" spans="1:8" ht="14.25" customHeight="1">
      <c r="A42" s="27" t="s">
        <v>283</v>
      </c>
      <c r="B42" s="34" t="s">
        <v>184</v>
      </c>
      <c r="C42" s="29" t="s">
        <v>285</v>
      </c>
      <c r="D42" s="30">
        <v>46143</v>
      </c>
      <c r="E42" s="29" t="s">
        <v>286</v>
      </c>
      <c r="F42" s="29">
        <v>902361503</v>
      </c>
      <c r="G42" s="29" t="s">
        <v>122</v>
      </c>
      <c r="H42" s="29" t="s">
        <v>371</v>
      </c>
    </row>
  </sheetData>
  <conditionalFormatting sqref="A14">
    <cfRule type="duplicateValues" dxfId="325" priority="1"/>
  </conditionalFormatting>
  <conditionalFormatting sqref="A22">
    <cfRule type="duplicateValues" dxfId="324" priority="2"/>
  </conditionalFormatting>
  <conditionalFormatting sqref="A35:A39 A42 A24:A32 A1:A9 A11:A13 A16:A22">
    <cfRule type="duplicateValues" dxfId="323" priority="3"/>
  </conditionalFormatting>
  <conditionalFormatting sqref="A34 A23 A15 A10">
    <cfRule type="duplicateValues" dxfId="322" priority="4"/>
  </conditionalFormatting>
  <conditionalFormatting sqref="A2:A42">
    <cfRule type="duplicateValues" dxfId="321" priority="5"/>
    <cfRule type="duplicateValues" dxfId="320" priority="6"/>
    <cfRule type="duplicateValues" dxfId="319" priority="7"/>
  </conditionalFormatting>
  <conditionalFormatting sqref="F2:F42">
    <cfRule type="duplicateValues" dxfId="318" priority="8"/>
  </conditionalFormatting>
  <conditionalFormatting sqref="C2:C42">
    <cfRule type="duplicateValues" dxfId="317" priority="9"/>
  </conditionalFormatting>
  <conditionalFormatting sqref="F2:F42">
    <cfRule type="duplicateValues" dxfId="316" priority="10"/>
  </conditionalFormatting>
  <hyperlinks>
    <hyperlink ref="E21" r:id="rId1" xr:uid="{680A8709-320E-4A7B-A9DF-BBA31C9F2A4E}"/>
    <hyperlink ref="E23" r:id="rId2" xr:uid="{7A87817F-5E90-4892-AF45-B507A3B0CC13}"/>
    <hyperlink ref="E25" r:id="rId3" xr:uid="{7F109F05-A43B-40AF-A1B1-F4351B8F9B29}"/>
    <hyperlink ref="E26" r:id="rId4" xr:uid="{3FA8602F-C41B-4CE8-8291-30336E2F2086}"/>
  </hyperlinks>
  <pageMargins left="0.7" right="0.7" top="0.75" bottom="0.75" header="0.3" footer="0.3"/>
  <pageSetup paperSize="9" orientation="portrait" horizontalDpi="360" verticalDpi="360" r:id="rId5"/>
  <tableParts count="1"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48E-EC0A-451B-BBFF-6ABCA43355A6}">
  <sheetPr codeName="Hoja3"/>
  <dimension ref="A1:S45"/>
  <sheetViews>
    <sheetView showGridLines="0" zoomScale="83" zoomScaleNormal="83" workbookViewId="0">
      <pane ySplit="1" topLeftCell="A2" activePane="bottomLeft" state="frozen"/>
      <selection activeCell="T3" sqref="T3"/>
      <selection pane="bottomLeft" activeCell="E16" sqref="E16"/>
    </sheetView>
  </sheetViews>
  <sheetFormatPr baseColWidth="10" defaultColWidth="11.5703125" defaultRowHeight="14.25" customHeight="1" outlineLevelCol="1"/>
  <cols>
    <col min="1" max="1" width="15.7109375" style="14" customWidth="1"/>
    <col min="2" max="3" width="20.7109375" style="14" customWidth="1"/>
    <col min="4" max="4" width="17.5703125" style="14" customWidth="1"/>
    <col min="5" max="5" width="40.7109375" style="14" customWidth="1"/>
    <col min="6" max="7" width="17.5703125" style="14" customWidth="1"/>
    <col min="8" max="8" width="40.7109375" style="14" customWidth="1"/>
    <col min="9" max="11" width="15.7109375" style="14" customWidth="1"/>
    <col min="12" max="15" width="15.85546875" style="14" customWidth="1" outlineLevel="1"/>
    <col min="16" max="17" width="15.85546875" style="14" customWidth="1"/>
    <col min="18" max="19" width="17.5703125" style="14" customWidth="1" outlineLevel="1"/>
    <col min="20" max="16384" width="11.5703125" style="14"/>
  </cols>
  <sheetData>
    <row r="1" spans="1:19" ht="20.25" customHeight="1">
      <c r="A1" s="15" t="s">
        <v>130</v>
      </c>
      <c r="B1" s="16" t="s">
        <v>16</v>
      </c>
      <c r="C1" s="16" t="s">
        <v>21</v>
      </c>
      <c r="D1" s="16" t="s">
        <v>131</v>
      </c>
      <c r="E1" s="16" t="s">
        <v>132</v>
      </c>
      <c r="F1" s="16" t="s">
        <v>133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20</v>
      </c>
      <c r="L1" s="18" t="s">
        <v>9</v>
      </c>
      <c r="M1" s="19" t="s">
        <v>138</v>
      </c>
      <c r="N1" s="19" t="s">
        <v>858</v>
      </c>
      <c r="O1" s="19" t="s">
        <v>139</v>
      </c>
      <c r="P1" s="19" t="s">
        <v>140</v>
      </c>
      <c r="Q1" s="20" t="s">
        <v>141</v>
      </c>
      <c r="R1" s="21" t="s">
        <v>143</v>
      </c>
      <c r="S1" s="17" t="s">
        <v>142</v>
      </c>
    </row>
    <row r="2" spans="1:19" ht="14.25" customHeight="1">
      <c r="A2" s="22" t="s">
        <v>144</v>
      </c>
      <c r="B2" s="23" t="s">
        <v>35</v>
      </c>
      <c r="C2" s="24" t="s">
        <v>35</v>
      </c>
      <c r="D2" s="24" t="s">
        <v>21</v>
      </c>
      <c r="E2" s="24" t="s">
        <v>145</v>
      </c>
      <c r="F2" s="24" t="s">
        <v>21</v>
      </c>
      <c r="G2" s="25">
        <v>46143</v>
      </c>
      <c r="H2" s="24" t="s">
        <v>146</v>
      </c>
      <c r="I2" s="24">
        <v>941341890</v>
      </c>
      <c r="J2" s="24" t="s">
        <v>122</v>
      </c>
      <c r="K2" s="24" t="s">
        <v>147</v>
      </c>
      <c r="L2" s="22" t="s">
        <v>148</v>
      </c>
      <c r="M2" s="24" t="s">
        <v>149</v>
      </c>
      <c r="N2" s="24" t="s">
        <v>824</v>
      </c>
      <c r="O2" s="24" t="s">
        <v>149</v>
      </c>
      <c r="P2" s="26">
        <f>IFERROR(IF(Ejecutivos.[[#This Row],[Categoria]]="Supervisor",VLOOKUP(Ejecutivos.[[#This Row],[Ejecutivo]],Fórmulas!$C$59:$E$63,2,0),VLOOKUP(Ejecutivos.[[#This Row],[Categoria]],Fórmulas!$C$52:$F$54,2,0)),0)</f>
        <v>2</v>
      </c>
      <c r="Q2" s="26">
        <f>IFERROR(IF(Ejecutivos.[[#This Row],[Categoria]]="Supervisor",VLOOKUP(Ejecutivos.[[#This Row],[Ejecutivo]],Fórmulas!$C$59:$E$63,3,0),VLOOKUP(Ejecutivos.[[#This Row],[Categoria]],Fórmulas!$C$52:$F$54,3,0)),0)</f>
        <v>1500000</v>
      </c>
      <c r="R2" s="22" t="str">
        <f>Ejecutivos.[[#This Row],[DNI]]</f>
        <v>41718975</v>
      </c>
      <c r="S2" s="22" t="str">
        <f>Ejecutivos.[[#This Row],[Ejecutivo]]</f>
        <v>Carlos Palomino</v>
      </c>
    </row>
    <row r="3" spans="1:19" ht="14.25" customHeight="1">
      <c r="A3" s="32" t="s">
        <v>931</v>
      </c>
      <c r="B3" s="33" t="s">
        <v>940</v>
      </c>
      <c r="C3" s="34" t="s">
        <v>35</v>
      </c>
      <c r="D3" s="34" t="s">
        <v>154</v>
      </c>
      <c r="E3" s="93" t="s">
        <v>936</v>
      </c>
      <c r="F3" s="29" t="s">
        <v>184</v>
      </c>
      <c r="G3" s="35">
        <v>46188</v>
      </c>
      <c r="H3" s="93" t="s">
        <v>946</v>
      </c>
      <c r="I3" s="93">
        <v>951951626</v>
      </c>
      <c r="J3" s="29" t="s">
        <v>122</v>
      </c>
      <c r="K3" s="34" t="s">
        <v>147</v>
      </c>
      <c r="L3" s="34" t="s">
        <v>148</v>
      </c>
      <c r="M3" s="93" t="s">
        <v>206</v>
      </c>
      <c r="N3" s="93" t="s">
        <v>206</v>
      </c>
      <c r="O3" s="93" t="s">
        <v>206</v>
      </c>
      <c r="P3" s="36">
        <f>IFERROR(IF(Ejecutivos.[[#This Row],[Categoria]]="Supervisor",VLOOKUP(Ejecutivos.[[#This Row],[Ejecutivo]],Fórmulas!$C$59:$E$63,2,0),VLOOKUP(Ejecutivos.[[#This Row],[Categoria]],Fórmulas!$C$52:$F$54,2,0)),0)</f>
        <v>2</v>
      </c>
      <c r="Q3" s="36">
        <f>IFERROR(IF(Ejecutivos.[[#This Row],[Categoria]]="Supervisor",VLOOKUP(Ejecutivos.[[#This Row],[Ejecutivo]],Fórmulas!$C$59:$E$63,3,0),VLOOKUP(Ejecutivos.[[#This Row],[Categoria]],Fórmulas!$C$52:$F$54,3,0)),0)</f>
        <v>100000</v>
      </c>
      <c r="R3" s="32" t="str">
        <f>Ejecutivos.[[#This Row],[DNI]]</f>
        <v>07925403</v>
      </c>
      <c r="S3" s="32" t="str">
        <f>Ejecutivos.[[#This Row],[Ejecutivo]]</f>
        <v>Carlos Tahua</v>
      </c>
    </row>
    <row r="4" spans="1:19" ht="14.25" customHeight="1">
      <c r="A4" s="27" t="s">
        <v>158</v>
      </c>
      <c r="B4" s="28" t="s">
        <v>159</v>
      </c>
      <c r="C4" s="29" t="s">
        <v>35</v>
      </c>
      <c r="D4" s="29" t="s">
        <v>152</v>
      </c>
      <c r="E4" s="29" t="s">
        <v>160</v>
      </c>
      <c r="F4" s="29" t="s">
        <v>154</v>
      </c>
      <c r="G4" s="30">
        <v>46143</v>
      </c>
      <c r="H4" s="29" t="s">
        <v>161</v>
      </c>
      <c r="I4" s="29">
        <v>927150861</v>
      </c>
      <c r="J4" s="29" t="s">
        <v>122</v>
      </c>
      <c r="K4" s="29" t="s">
        <v>147</v>
      </c>
      <c r="L4" s="29" t="s">
        <v>148</v>
      </c>
      <c r="M4" s="29" t="s">
        <v>162</v>
      </c>
      <c r="N4" s="29" t="s">
        <v>825</v>
      </c>
      <c r="O4" s="29" t="s">
        <v>163</v>
      </c>
      <c r="P4" s="31">
        <f>IFERROR(IF(Ejecutivos.[[#This Row],[Categoria]]="Supervisor",VLOOKUP(Ejecutivos.[[#This Row],[Ejecutivo]],Fórmulas!$C$59:$E$63,2,0),VLOOKUP(Ejecutivos.[[#This Row],[Categoria]],Fórmulas!$C$52:$F$54,2,0)),0)</f>
        <v>2</v>
      </c>
      <c r="Q4" s="31">
        <f>IFERROR(IF(Ejecutivos.[[#This Row],[Categoria]]="Supervisor",VLOOKUP(Ejecutivos.[[#This Row],[Ejecutivo]],Fórmulas!$C$59:$E$63,3,0),VLOOKUP(Ejecutivos.[[#This Row],[Categoria]],Fórmulas!$C$52:$F$54,3,0)),0)</f>
        <v>150000</v>
      </c>
      <c r="R4" s="27" t="str">
        <f>Ejecutivos.[[#This Row],[DNI]]</f>
        <v>76524006</v>
      </c>
      <c r="S4" s="27" t="str">
        <f>Ejecutivos.[[#This Row],[Ejecutivo]]</f>
        <v>Jorge Jaimes</v>
      </c>
    </row>
    <row r="5" spans="1:19" ht="14.25" customHeight="1">
      <c r="A5" s="27" t="s">
        <v>173</v>
      </c>
      <c r="B5" s="28" t="s">
        <v>80</v>
      </c>
      <c r="C5" s="29" t="s">
        <v>35</v>
      </c>
      <c r="D5" s="29" t="s">
        <v>170</v>
      </c>
      <c r="E5" s="29" t="s">
        <v>81</v>
      </c>
      <c r="F5" s="29" t="s">
        <v>154</v>
      </c>
      <c r="G5" s="30">
        <v>46143</v>
      </c>
      <c r="H5" s="29" t="s">
        <v>174</v>
      </c>
      <c r="I5" s="29">
        <v>972726333</v>
      </c>
      <c r="J5" s="29" t="s">
        <v>122</v>
      </c>
      <c r="K5" s="29" t="s">
        <v>147</v>
      </c>
      <c r="L5" s="29" t="s">
        <v>148</v>
      </c>
      <c r="M5" s="29" t="s">
        <v>175</v>
      </c>
      <c r="N5" s="29" t="s">
        <v>826</v>
      </c>
      <c r="O5" s="29" t="s">
        <v>176</v>
      </c>
      <c r="P5" s="31">
        <f>IFERROR(IF(Ejecutivos.[[#This Row],[Categoria]]="Supervisor",VLOOKUP(Ejecutivos.[[#This Row],[Ejecutivo]],Fórmulas!$C$59:$E$63,2,0),VLOOKUP(Ejecutivos.[[#This Row],[Categoria]],Fórmulas!$C$52:$F$54,2,0)),0)</f>
        <v>2</v>
      </c>
      <c r="Q5" s="31">
        <f>IFERROR(IF(Ejecutivos.[[#This Row],[Categoria]]="Supervisor",VLOOKUP(Ejecutivos.[[#This Row],[Ejecutivo]],Fórmulas!$C$59:$E$63,3,0),VLOOKUP(Ejecutivos.[[#This Row],[Categoria]],Fórmulas!$C$52:$F$54,3,0)),0)</f>
        <v>300000</v>
      </c>
      <c r="R5" s="27" t="str">
        <f>Ejecutivos.[[#This Row],[DNI]]</f>
        <v>46998250</v>
      </c>
      <c r="S5" s="27" t="str">
        <f>Ejecutivos.[[#This Row],[Ejecutivo]]</f>
        <v>Maria Godoy</v>
      </c>
    </row>
    <row r="6" spans="1:19" ht="14.25" customHeight="1">
      <c r="A6" s="27" t="s">
        <v>177</v>
      </c>
      <c r="B6" s="28" t="s">
        <v>34</v>
      </c>
      <c r="C6" s="29" t="s">
        <v>35</v>
      </c>
      <c r="D6" s="29" t="s">
        <v>170</v>
      </c>
      <c r="E6" s="29" t="s">
        <v>36</v>
      </c>
      <c r="F6" s="29" t="s">
        <v>154</v>
      </c>
      <c r="G6" s="30">
        <v>46143</v>
      </c>
      <c r="H6" s="29" t="s">
        <v>178</v>
      </c>
      <c r="I6" s="29">
        <v>907494902</v>
      </c>
      <c r="J6" s="29" t="s">
        <v>122</v>
      </c>
      <c r="K6" s="29" t="s">
        <v>147</v>
      </c>
      <c r="L6" s="29" t="s">
        <v>148</v>
      </c>
      <c r="M6" s="29" t="s">
        <v>179</v>
      </c>
      <c r="N6" s="29" t="s">
        <v>827</v>
      </c>
      <c r="O6" s="29" t="s">
        <v>180</v>
      </c>
      <c r="P6" s="31">
        <f>IFERROR(IF(Ejecutivos.[[#This Row],[Categoria]]="Supervisor",VLOOKUP(Ejecutivos.[[#This Row],[Ejecutivo]],Fórmulas!$C$59:$E$63,2,0),VLOOKUP(Ejecutivos.[[#This Row],[Categoria]],Fórmulas!$C$52:$F$54,2,0)),0)</f>
        <v>2</v>
      </c>
      <c r="Q6" s="31">
        <f>IFERROR(IF(Ejecutivos.[[#This Row],[Categoria]]="Supervisor",VLOOKUP(Ejecutivos.[[#This Row],[Ejecutivo]],Fórmulas!$C$59:$E$63,3,0),VLOOKUP(Ejecutivos.[[#This Row],[Categoria]],Fórmulas!$C$52:$F$54,3,0)),0)</f>
        <v>300000</v>
      </c>
      <c r="R6" s="27" t="str">
        <f>Ejecutivos.[[#This Row],[DNI]]</f>
        <v>43661391</v>
      </c>
      <c r="S6" s="27" t="str">
        <f>Ejecutivos.[[#This Row],[Ejecutivo]]</f>
        <v>Milagros Rocha</v>
      </c>
    </row>
    <row r="7" spans="1:19" ht="14.25" customHeight="1">
      <c r="A7" s="27" t="s">
        <v>150</v>
      </c>
      <c r="B7" s="69" t="s">
        <v>151</v>
      </c>
      <c r="C7" s="29" t="s">
        <v>35</v>
      </c>
      <c r="D7" s="29" t="s">
        <v>152</v>
      </c>
      <c r="E7" s="29" t="s">
        <v>153</v>
      </c>
      <c r="F7" s="29" t="s">
        <v>154</v>
      </c>
      <c r="G7" s="30">
        <v>46143</v>
      </c>
      <c r="H7" s="29" t="s">
        <v>155</v>
      </c>
      <c r="I7" s="29">
        <v>981463333</v>
      </c>
      <c r="J7" s="29" t="s">
        <v>122</v>
      </c>
      <c r="K7" s="29" t="s">
        <v>147</v>
      </c>
      <c r="L7" s="29" t="s">
        <v>722</v>
      </c>
      <c r="M7" s="29" t="s">
        <v>156</v>
      </c>
      <c r="N7" s="29" t="s">
        <v>857</v>
      </c>
      <c r="O7" s="29" t="s">
        <v>157</v>
      </c>
      <c r="P7" s="31">
        <f>IFERROR(IF(Ejecutivos.[[#This Row],[Categoria]]="Supervisor",VLOOKUP(Ejecutivos.[[#This Row],[Ejecutivo]],Fórmulas!$C$59:$E$63,2,0),VLOOKUP(Ejecutivos.[[#This Row],[Categoria]],Fórmulas!$C$52:$F$54,2,0)),0)</f>
        <v>2</v>
      </c>
      <c r="Q7" s="31">
        <f>IFERROR(IF(Ejecutivos.[[#This Row],[Categoria]]="Supervisor",VLOOKUP(Ejecutivos.[[#This Row],[Ejecutivo]],Fórmulas!$C$59:$E$63,3,0),VLOOKUP(Ejecutivos.[[#This Row],[Categoria]],Fórmulas!$C$52:$F$54,3,0)),0)</f>
        <v>150000</v>
      </c>
      <c r="R7" s="27" t="str">
        <f>Ejecutivos.[[#This Row],[DNI]]</f>
        <v>41419651</v>
      </c>
      <c r="S7" s="27" t="str">
        <f>Ejecutivos.[[#This Row],[Ejecutivo]]</f>
        <v>Giuliana Hereña</v>
      </c>
    </row>
    <row r="8" spans="1:19" ht="14.25" customHeight="1">
      <c r="A8" s="27" t="s">
        <v>164</v>
      </c>
      <c r="B8" s="69" t="s">
        <v>103</v>
      </c>
      <c r="C8" s="29" t="s">
        <v>35</v>
      </c>
      <c r="D8" s="29" t="s">
        <v>152</v>
      </c>
      <c r="E8" s="29" t="s">
        <v>104</v>
      </c>
      <c r="F8" s="29" t="s">
        <v>154</v>
      </c>
      <c r="G8" s="30">
        <v>46143</v>
      </c>
      <c r="H8" s="29" t="s">
        <v>165</v>
      </c>
      <c r="I8" s="29">
        <v>927254247</v>
      </c>
      <c r="J8" s="29" t="s">
        <v>122</v>
      </c>
      <c r="K8" s="29" t="s">
        <v>147</v>
      </c>
      <c r="L8" s="29" t="s">
        <v>722</v>
      </c>
      <c r="M8" s="29" t="s">
        <v>166</v>
      </c>
      <c r="N8" s="29" t="s">
        <v>857</v>
      </c>
      <c r="O8" s="29" t="s">
        <v>167</v>
      </c>
      <c r="P8" s="31">
        <f>IFERROR(IF(Ejecutivos.[[#This Row],[Categoria]]="Supervisor",VLOOKUP(Ejecutivos.[[#This Row],[Ejecutivo]],Fórmulas!$C$59:$E$63,2,0),VLOOKUP(Ejecutivos.[[#This Row],[Categoria]],Fórmulas!$C$52:$F$54,2,0)),0)</f>
        <v>2</v>
      </c>
      <c r="Q8" s="31">
        <f>IFERROR(IF(Ejecutivos.[[#This Row],[Categoria]]="Supervisor",VLOOKUP(Ejecutivos.[[#This Row],[Ejecutivo]],Fórmulas!$C$59:$E$63,3,0),VLOOKUP(Ejecutivos.[[#This Row],[Categoria]],Fórmulas!$C$52:$F$54,3,0)),0)</f>
        <v>150000</v>
      </c>
      <c r="R8" s="27" t="str">
        <f>Ejecutivos.[[#This Row],[DNI]]</f>
        <v>72895762</v>
      </c>
      <c r="S8" s="27" t="str">
        <f>Ejecutivos.[[#This Row],[Ejecutivo]]</f>
        <v>Leonardo Torres</v>
      </c>
    </row>
    <row r="9" spans="1:19" ht="14.25" customHeight="1">
      <c r="A9" s="27" t="s">
        <v>181</v>
      </c>
      <c r="B9" s="69" t="s">
        <v>182</v>
      </c>
      <c r="C9" s="29" t="s">
        <v>35</v>
      </c>
      <c r="D9" s="29" t="s">
        <v>152</v>
      </c>
      <c r="E9" s="29" t="s">
        <v>183</v>
      </c>
      <c r="F9" s="29" t="s">
        <v>184</v>
      </c>
      <c r="G9" s="30">
        <v>46143</v>
      </c>
      <c r="H9" s="29" t="s">
        <v>185</v>
      </c>
      <c r="I9" s="29">
        <v>937734210</v>
      </c>
      <c r="J9" s="29" t="s">
        <v>122</v>
      </c>
      <c r="K9" s="29" t="s">
        <v>147</v>
      </c>
      <c r="L9" s="29" t="s">
        <v>722</v>
      </c>
      <c r="M9" s="29" t="s">
        <v>186</v>
      </c>
      <c r="N9" s="29" t="s">
        <v>857</v>
      </c>
      <c r="O9" s="29" t="s">
        <v>187</v>
      </c>
      <c r="P9" s="31">
        <f>IFERROR(IF(Ejecutivos.[[#This Row],[Categoria]]="Supervisor",VLOOKUP(Ejecutivos.[[#This Row],[Ejecutivo]],Fórmulas!$C$59:$E$63,2,0),VLOOKUP(Ejecutivos.[[#This Row],[Categoria]],Fórmulas!$C$52:$F$54,2,0)),0)</f>
        <v>2</v>
      </c>
      <c r="Q9" s="31">
        <f>IFERROR(IF(Ejecutivos.[[#This Row],[Categoria]]="Supervisor",VLOOKUP(Ejecutivos.[[#This Row],[Ejecutivo]],Fórmulas!$C$59:$E$63,3,0),VLOOKUP(Ejecutivos.[[#This Row],[Categoria]],Fórmulas!$C$52:$F$54,3,0)),0)</f>
        <v>150000</v>
      </c>
      <c r="R9" s="27" t="str">
        <f>Ejecutivos.[[#This Row],[DNI]]</f>
        <v>08694541</v>
      </c>
      <c r="S9" s="27" t="str">
        <f>Ejecutivos.[[#This Row],[Ejecutivo]]</f>
        <v>Rildo Mendoza</v>
      </c>
    </row>
    <row r="10" spans="1:19" ht="14.25" customHeight="1">
      <c r="A10" s="32" t="s">
        <v>188</v>
      </c>
      <c r="B10" s="79" t="s">
        <v>189</v>
      </c>
      <c r="C10" s="34" t="s">
        <v>35</v>
      </c>
      <c r="D10" s="34" t="s">
        <v>152</v>
      </c>
      <c r="E10" s="34" t="s">
        <v>190</v>
      </c>
      <c r="F10" s="34" t="s">
        <v>184</v>
      </c>
      <c r="G10" s="35">
        <v>46143</v>
      </c>
      <c r="H10" s="34" t="s">
        <v>191</v>
      </c>
      <c r="I10" s="34">
        <v>942727743</v>
      </c>
      <c r="J10" s="34" t="s">
        <v>122</v>
      </c>
      <c r="K10" s="29" t="s">
        <v>147</v>
      </c>
      <c r="L10" s="29" t="s">
        <v>722</v>
      </c>
      <c r="M10" s="34" t="s">
        <v>192</v>
      </c>
      <c r="N10" s="29" t="s">
        <v>857</v>
      </c>
      <c r="O10" s="34" t="s">
        <v>193</v>
      </c>
      <c r="P10" s="36">
        <f>IFERROR(IF(Ejecutivos.[[#This Row],[Categoria]]="Supervisor",VLOOKUP(Ejecutivos.[[#This Row],[Ejecutivo]],Fórmulas!$C$59:$E$63,2,0),VLOOKUP(Ejecutivos.[[#This Row],[Categoria]],Fórmulas!$C$52:$F$54,2,0)),0)</f>
        <v>2</v>
      </c>
      <c r="Q10" s="36">
        <f>IFERROR(IF(Ejecutivos.[[#This Row],[Categoria]]="Supervisor",VLOOKUP(Ejecutivos.[[#This Row],[Ejecutivo]],Fórmulas!$C$59:$E$63,3,0),VLOOKUP(Ejecutivos.[[#This Row],[Categoria]],Fórmulas!$C$52:$F$54,3,0)),0)</f>
        <v>150000</v>
      </c>
      <c r="R10" s="32" t="str">
        <f>Ejecutivos.[[#This Row],[DNI]]</f>
        <v>40463169</v>
      </c>
      <c r="S10" s="32" t="str">
        <f>Ejecutivos.[[#This Row],[Ejecutivo]]</f>
        <v>Yessica Ruiz</v>
      </c>
    </row>
    <row r="11" spans="1:19" ht="14.25" customHeight="1">
      <c r="A11" s="22" t="s">
        <v>194</v>
      </c>
      <c r="B11" s="23" t="s">
        <v>48</v>
      </c>
      <c r="C11" s="24" t="s">
        <v>48</v>
      </c>
      <c r="D11" s="24" t="s">
        <v>21</v>
      </c>
      <c r="E11" s="24" t="s">
        <v>195</v>
      </c>
      <c r="F11" s="24" t="s">
        <v>21</v>
      </c>
      <c r="G11" s="25">
        <v>46143</v>
      </c>
      <c r="H11" s="24" t="s">
        <v>196</v>
      </c>
      <c r="I11" s="24">
        <v>940975389</v>
      </c>
      <c r="J11" s="24" t="s">
        <v>122</v>
      </c>
      <c r="K11" s="24" t="s">
        <v>197</v>
      </c>
      <c r="L11" s="24" t="s">
        <v>148</v>
      </c>
      <c r="M11" s="24" t="s">
        <v>149</v>
      </c>
      <c r="N11" s="24" t="s">
        <v>828</v>
      </c>
      <c r="O11" s="24" t="s">
        <v>149</v>
      </c>
      <c r="P11" s="26">
        <f>IFERROR(IF(Ejecutivos.[[#This Row],[Categoria]]="Supervisor",VLOOKUP(Ejecutivos.[[#This Row],[Ejecutivo]],Fórmulas!$C$59:$E$63,2,0),VLOOKUP(Ejecutivos.[[#This Row],[Categoria]],Fórmulas!$C$52:$F$54,2,0)),0)</f>
        <v>2</v>
      </c>
      <c r="Q11" s="26">
        <f>IFERROR(IF(Ejecutivos.[[#This Row],[Categoria]]="Supervisor",VLOOKUP(Ejecutivos.[[#This Row],[Ejecutivo]],Fórmulas!$C$59:$E$63,3,0),VLOOKUP(Ejecutivos.[[#This Row],[Categoria]],Fórmulas!$C$52:$F$54,3,0)),0)</f>
        <v>1000000</v>
      </c>
      <c r="R11" s="22" t="str">
        <f>Ejecutivos.[[#This Row],[DNI]]</f>
        <v>44818200</v>
      </c>
      <c r="S11" s="22" t="str">
        <f>Ejecutivos.[[#This Row],[Ejecutivo]]</f>
        <v>Hamm Ramirez</v>
      </c>
    </row>
    <row r="12" spans="1:19" ht="14.25" customHeight="1">
      <c r="A12" s="27" t="s">
        <v>198</v>
      </c>
      <c r="B12" s="29" t="s">
        <v>47</v>
      </c>
      <c r="C12" s="29" t="s">
        <v>48</v>
      </c>
      <c r="D12" s="29" t="s">
        <v>152</v>
      </c>
      <c r="E12" s="29" t="s">
        <v>49</v>
      </c>
      <c r="F12" s="29" t="s">
        <v>184</v>
      </c>
      <c r="G12" s="30">
        <v>46143</v>
      </c>
      <c r="H12" s="29" t="s">
        <v>199</v>
      </c>
      <c r="I12" s="29">
        <v>946845882</v>
      </c>
      <c r="J12" s="29" t="s">
        <v>122</v>
      </c>
      <c r="K12" s="29" t="s">
        <v>197</v>
      </c>
      <c r="L12" s="29" t="s">
        <v>148</v>
      </c>
      <c r="M12" s="29" t="s">
        <v>200</v>
      </c>
      <c r="N12" s="29" t="s">
        <v>829</v>
      </c>
      <c r="O12" s="29" t="s">
        <v>201</v>
      </c>
      <c r="P12" s="31">
        <f>IFERROR(IF(Ejecutivos.[[#This Row],[Categoria]]="Supervisor",VLOOKUP(Ejecutivos.[[#This Row],[Ejecutivo]],Fórmulas!$C$59:$E$63,2,0),VLOOKUP(Ejecutivos.[[#This Row],[Categoria]],Fórmulas!$C$52:$F$54,2,0)),0)</f>
        <v>2</v>
      </c>
      <c r="Q12" s="31">
        <f>IFERROR(IF(Ejecutivos.[[#This Row],[Categoria]]="Supervisor",VLOOKUP(Ejecutivos.[[#This Row],[Ejecutivo]],Fórmulas!$C$59:$E$63,3,0),VLOOKUP(Ejecutivos.[[#This Row],[Categoria]],Fórmulas!$C$52:$F$54,3,0)),0)</f>
        <v>150000</v>
      </c>
      <c r="R12" s="27" t="str">
        <f>Ejecutivos.[[#This Row],[DNI]]</f>
        <v>44881019</v>
      </c>
      <c r="S12" s="27" t="str">
        <f>Ejecutivos.[[#This Row],[Ejecutivo]]</f>
        <v>Jackeline Matos</v>
      </c>
    </row>
    <row r="13" spans="1:19" ht="14.25" customHeight="1">
      <c r="A13" s="32" t="s">
        <v>927</v>
      </c>
      <c r="B13" s="33" t="s">
        <v>941</v>
      </c>
      <c r="C13" s="34" t="s">
        <v>48</v>
      </c>
      <c r="D13" s="34" t="s">
        <v>154</v>
      </c>
      <c r="E13" s="93" t="s">
        <v>932</v>
      </c>
      <c r="F13" s="34" t="s">
        <v>184</v>
      </c>
      <c r="G13" s="35">
        <v>46189</v>
      </c>
      <c r="H13" s="93" t="s">
        <v>942</v>
      </c>
      <c r="I13" s="93">
        <v>957168165</v>
      </c>
      <c r="J13" s="29" t="s">
        <v>122</v>
      </c>
      <c r="K13" s="34" t="s">
        <v>147</v>
      </c>
      <c r="L13" s="34" t="s">
        <v>148</v>
      </c>
      <c r="M13" s="93" t="s">
        <v>206</v>
      </c>
      <c r="N13" s="93" t="s">
        <v>206</v>
      </c>
      <c r="O13" s="93" t="s">
        <v>206</v>
      </c>
      <c r="P13" s="36">
        <f>IFERROR(IF(Ejecutivos.[[#This Row],[Categoria]]="Supervisor",VLOOKUP(Ejecutivos.[[#This Row],[Ejecutivo]],Fórmulas!$C$59:$E$63,2,0),VLOOKUP(Ejecutivos.[[#This Row],[Categoria]],Fórmulas!$C$52:$F$54,2,0)),0)</f>
        <v>2</v>
      </c>
      <c r="Q13" s="36">
        <f>IFERROR(IF(Ejecutivos.[[#This Row],[Categoria]]="Supervisor",VLOOKUP(Ejecutivos.[[#This Row],[Ejecutivo]],Fórmulas!$C$59:$E$63,3,0),VLOOKUP(Ejecutivos.[[#This Row],[Categoria]],Fórmulas!$C$52:$F$54,3,0)),0)</f>
        <v>100000</v>
      </c>
      <c r="R13" s="32" t="str">
        <f>Ejecutivos.[[#This Row],[DNI]]</f>
        <v>46640542</v>
      </c>
      <c r="S13" s="32" t="str">
        <f>Ejecutivos.[[#This Row],[Ejecutivo]]</f>
        <v>Juan Sangama</v>
      </c>
    </row>
    <row r="14" spans="1:19" ht="14.25" customHeight="1">
      <c r="A14" s="27" t="s">
        <v>202</v>
      </c>
      <c r="B14" s="28" t="s">
        <v>203</v>
      </c>
      <c r="C14" s="29" t="s">
        <v>48</v>
      </c>
      <c r="D14" s="29" t="s">
        <v>154</v>
      </c>
      <c r="E14" s="29" t="s">
        <v>204</v>
      </c>
      <c r="F14" s="29" t="s">
        <v>184</v>
      </c>
      <c r="G14" s="30">
        <v>46157</v>
      </c>
      <c r="H14" s="29" t="s">
        <v>205</v>
      </c>
      <c r="I14" s="29">
        <v>991029300</v>
      </c>
      <c r="J14" s="29" t="s">
        <v>122</v>
      </c>
      <c r="K14" s="29" t="s">
        <v>197</v>
      </c>
      <c r="L14" s="29" t="s">
        <v>148</v>
      </c>
      <c r="M14" s="29" t="s">
        <v>823</v>
      </c>
      <c r="N14" s="29" t="s">
        <v>830</v>
      </c>
      <c r="O14" s="29" t="s">
        <v>206</v>
      </c>
      <c r="P14" s="31">
        <f>IFERROR(IF(Ejecutivos.[[#This Row],[Categoria]]="Supervisor",VLOOKUP(Ejecutivos.[[#This Row],[Ejecutivo]],Fórmulas!$C$59:$E$63,2,0),VLOOKUP(Ejecutivos.[[#This Row],[Categoria]],Fórmulas!$C$52:$F$54,2,0)),0)</f>
        <v>2</v>
      </c>
      <c r="Q14" s="31">
        <f>IFERROR(IF(Ejecutivos.[[#This Row],[Categoria]]="Supervisor",VLOOKUP(Ejecutivos.[[#This Row],[Ejecutivo]],Fórmulas!$C$59:$E$63,3,0),VLOOKUP(Ejecutivos.[[#This Row],[Categoria]],Fórmulas!$C$52:$F$54,3,0)),0)</f>
        <v>100000</v>
      </c>
      <c r="R14" s="27" t="str">
        <f>Ejecutivos.[[#This Row],[DNI]]</f>
        <v>77042102</v>
      </c>
      <c r="S14" s="27" t="str">
        <f>Ejecutivos.[[#This Row],[Ejecutivo]]</f>
        <v>Luigi Castillo</v>
      </c>
    </row>
    <row r="15" spans="1:19" ht="14.25" customHeight="1">
      <c r="A15" s="27" t="s">
        <v>207</v>
      </c>
      <c r="B15" s="28" t="s">
        <v>208</v>
      </c>
      <c r="C15" s="29" t="s">
        <v>48</v>
      </c>
      <c r="D15" s="29" t="s">
        <v>154</v>
      </c>
      <c r="E15" s="29" t="s">
        <v>209</v>
      </c>
      <c r="F15" s="29" t="s">
        <v>184</v>
      </c>
      <c r="G15" s="30">
        <v>46143</v>
      </c>
      <c r="H15" s="29" t="s">
        <v>210</v>
      </c>
      <c r="I15" s="29">
        <v>947118814</v>
      </c>
      <c r="J15" s="29" t="s">
        <v>122</v>
      </c>
      <c r="K15" s="29" t="s">
        <v>197</v>
      </c>
      <c r="L15" s="29" t="s">
        <v>148</v>
      </c>
      <c r="M15" s="29" t="s">
        <v>211</v>
      </c>
      <c r="N15" s="29" t="s">
        <v>831</v>
      </c>
      <c r="O15" s="29" t="s">
        <v>212</v>
      </c>
      <c r="P15" s="31">
        <f>IFERROR(IF(Ejecutivos.[[#This Row],[Categoria]]="Supervisor",VLOOKUP(Ejecutivos.[[#This Row],[Ejecutivo]],Fórmulas!$C$59:$E$63,2,0),VLOOKUP(Ejecutivos.[[#This Row],[Categoria]],Fórmulas!$C$52:$F$54,2,0)),0)</f>
        <v>2</v>
      </c>
      <c r="Q15" s="31">
        <f>IFERROR(IF(Ejecutivos.[[#This Row],[Categoria]]="Supervisor",VLOOKUP(Ejecutivos.[[#This Row],[Ejecutivo]],Fórmulas!$C$59:$E$63,3,0),VLOOKUP(Ejecutivos.[[#This Row],[Categoria]],Fórmulas!$C$52:$F$54,3,0)),0)</f>
        <v>100000</v>
      </c>
      <c r="R15" s="27" t="str">
        <f>Ejecutivos.[[#This Row],[DNI]]</f>
        <v>40610358</v>
      </c>
      <c r="S15" s="27" t="str">
        <f>Ejecutivos.[[#This Row],[Ejecutivo]]</f>
        <v>Nestor Jarama</v>
      </c>
    </row>
    <row r="16" spans="1:19" ht="14.25" customHeight="1">
      <c r="A16" s="32" t="s">
        <v>929</v>
      </c>
      <c r="B16" s="33" t="s">
        <v>938</v>
      </c>
      <c r="C16" s="34" t="s">
        <v>48</v>
      </c>
      <c r="D16" s="34" t="s">
        <v>154</v>
      </c>
      <c r="E16" s="93" t="s">
        <v>934</v>
      </c>
      <c r="F16" s="34" t="s">
        <v>184</v>
      </c>
      <c r="G16" s="35">
        <v>46188</v>
      </c>
      <c r="H16" s="93" t="s">
        <v>944</v>
      </c>
      <c r="I16" s="93">
        <v>960722518</v>
      </c>
      <c r="J16" s="29" t="s">
        <v>122</v>
      </c>
      <c r="K16" s="34" t="s">
        <v>197</v>
      </c>
      <c r="L16" s="34" t="s">
        <v>148</v>
      </c>
      <c r="M16" s="93" t="s">
        <v>206</v>
      </c>
      <c r="N16" s="93" t="s">
        <v>206</v>
      </c>
      <c r="O16" s="93" t="s">
        <v>206</v>
      </c>
      <c r="P16" s="36">
        <f>IFERROR(IF(Ejecutivos.[[#This Row],[Categoria]]="Supervisor",VLOOKUP(Ejecutivos.[[#This Row],[Ejecutivo]],Fórmulas!$C$59:$E$63,2,0),VLOOKUP(Ejecutivos.[[#This Row],[Categoria]],Fórmulas!$C$52:$F$54,2,0)),0)</f>
        <v>2</v>
      </c>
      <c r="Q16" s="36">
        <f>IFERROR(IF(Ejecutivos.[[#This Row],[Categoria]]="Supervisor",VLOOKUP(Ejecutivos.[[#This Row],[Ejecutivo]],Fórmulas!$C$59:$E$63,3,0),VLOOKUP(Ejecutivos.[[#This Row],[Categoria]],Fórmulas!$C$52:$F$54,3,0)),0)</f>
        <v>100000</v>
      </c>
      <c r="R16" s="32" t="str">
        <f>Ejecutivos.[[#This Row],[DNI]]</f>
        <v>75997183</v>
      </c>
      <c r="S16" s="32" t="str">
        <f>Ejecutivos.[[#This Row],[Ejecutivo]]</f>
        <v>Katia Herrera</v>
      </c>
    </row>
    <row r="17" spans="1:19" ht="14.25" customHeight="1">
      <c r="A17" s="32" t="s">
        <v>930</v>
      </c>
      <c r="B17" s="33" t="s">
        <v>939</v>
      </c>
      <c r="C17" s="34" t="s">
        <v>48</v>
      </c>
      <c r="D17" s="34" t="s">
        <v>170</v>
      </c>
      <c r="E17" s="93" t="s">
        <v>935</v>
      </c>
      <c r="F17" s="93" t="s">
        <v>154</v>
      </c>
      <c r="G17" s="35">
        <v>46188</v>
      </c>
      <c r="H17" s="93" t="s">
        <v>945</v>
      </c>
      <c r="I17" s="93">
        <v>937405514</v>
      </c>
      <c r="J17" s="34" t="s">
        <v>122</v>
      </c>
      <c r="K17" s="34" t="s">
        <v>197</v>
      </c>
      <c r="L17" s="34" t="s">
        <v>148</v>
      </c>
      <c r="M17" s="93" t="s">
        <v>206</v>
      </c>
      <c r="N17" s="93" t="s">
        <v>206</v>
      </c>
      <c r="O17" s="93" t="s">
        <v>206</v>
      </c>
      <c r="P17" s="36">
        <f>IFERROR(IF(Ejecutivos.[[#This Row],[Categoria]]="Supervisor",VLOOKUP(Ejecutivos.[[#This Row],[Ejecutivo]],Fórmulas!$C$59:$E$63,2,0),VLOOKUP(Ejecutivos.[[#This Row],[Categoria]],Fórmulas!$C$52:$F$54,2,0)),0)</f>
        <v>2</v>
      </c>
      <c r="Q17" s="36">
        <f>IFERROR(IF(Ejecutivos.[[#This Row],[Categoria]]="Supervisor",VLOOKUP(Ejecutivos.[[#This Row],[Ejecutivo]],Fórmulas!$C$59:$E$63,3,0),VLOOKUP(Ejecutivos.[[#This Row],[Categoria]],Fórmulas!$C$52:$F$54,3,0)),0)</f>
        <v>300000</v>
      </c>
      <c r="R17" s="32" t="str">
        <f>Ejecutivos.[[#This Row],[DNI]]</f>
        <v>72791766</v>
      </c>
      <c r="S17" s="32" t="str">
        <f>Ejecutivos.[[#This Row],[Ejecutivo]]</f>
        <v>Evelin Aspur</v>
      </c>
    </row>
    <row r="18" spans="1:19" ht="14.25" customHeight="1">
      <c r="A18" s="22" t="s">
        <v>213</v>
      </c>
      <c r="B18" s="23" t="s">
        <v>64</v>
      </c>
      <c r="C18" s="24" t="s">
        <v>64</v>
      </c>
      <c r="D18" s="24" t="s">
        <v>21</v>
      </c>
      <c r="E18" s="24" t="s">
        <v>214</v>
      </c>
      <c r="F18" s="24" t="s">
        <v>21</v>
      </c>
      <c r="G18" s="25">
        <v>46143</v>
      </c>
      <c r="H18" s="24" t="s">
        <v>215</v>
      </c>
      <c r="I18" s="24">
        <v>924525579</v>
      </c>
      <c r="J18" s="24" t="s">
        <v>122</v>
      </c>
      <c r="K18" s="24" t="s">
        <v>216</v>
      </c>
      <c r="L18" s="24" t="s">
        <v>148</v>
      </c>
      <c r="M18" s="24" t="s">
        <v>149</v>
      </c>
      <c r="N18" s="24" t="s">
        <v>832</v>
      </c>
      <c r="O18" s="24" t="s">
        <v>149</v>
      </c>
      <c r="P18" s="26">
        <f>IFERROR(IF(Ejecutivos.[[#This Row],[Categoria]]="Supervisor",VLOOKUP(Ejecutivos.[[#This Row],[Ejecutivo]],Fórmulas!$C$59:$E$63,2,0),VLOOKUP(Ejecutivos.[[#This Row],[Categoria]],Fórmulas!$C$52:$F$54,2,0)),0)</f>
        <v>2</v>
      </c>
      <c r="Q18" s="26">
        <f>IFERROR(IF(Ejecutivos.[[#This Row],[Categoria]]="Supervisor",VLOOKUP(Ejecutivos.[[#This Row],[Ejecutivo]],Fórmulas!$C$59:$E$63,3,0),VLOOKUP(Ejecutivos.[[#This Row],[Categoria]],Fórmulas!$C$52:$F$54,3,0)),0)</f>
        <v>1000000</v>
      </c>
      <c r="R18" s="22" t="str">
        <f>Ejecutivos.[[#This Row],[DNI]]</f>
        <v>47688341</v>
      </c>
      <c r="S18" s="22" t="str">
        <f>Ejecutivos.[[#This Row],[Ejecutivo]]</f>
        <v>Jean Aguilar</v>
      </c>
    </row>
    <row r="19" spans="1:19" ht="14.25" customHeight="1">
      <c r="A19" s="27" t="s">
        <v>217</v>
      </c>
      <c r="B19" s="29" t="s">
        <v>218</v>
      </c>
      <c r="C19" s="29" t="s">
        <v>64</v>
      </c>
      <c r="D19" s="29" t="s">
        <v>154</v>
      </c>
      <c r="E19" s="29" t="s">
        <v>219</v>
      </c>
      <c r="F19" s="29" t="s">
        <v>184</v>
      </c>
      <c r="G19" s="30">
        <v>46143</v>
      </c>
      <c r="H19" s="29" t="s">
        <v>220</v>
      </c>
      <c r="I19" s="29">
        <v>950233606</v>
      </c>
      <c r="J19" s="29" t="s">
        <v>122</v>
      </c>
      <c r="K19" s="29" t="s">
        <v>216</v>
      </c>
      <c r="L19" s="29" t="s">
        <v>148</v>
      </c>
      <c r="M19" s="29" t="s">
        <v>221</v>
      </c>
      <c r="N19" s="29" t="s">
        <v>833</v>
      </c>
      <c r="O19" s="29" t="s">
        <v>222</v>
      </c>
      <c r="P19" s="31">
        <f>IFERROR(IF(Ejecutivos.[[#This Row],[Categoria]]="Supervisor",VLOOKUP(Ejecutivos.[[#This Row],[Ejecutivo]],Fórmulas!$C$59:$E$63,2,0),VLOOKUP(Ejecutivos.[[#This Row],[Categoria]],Fórmulas!$C$52:$F$54,2,0)),0)</f>
        <v>2</v>
      </c>
      <c r="Q19" s="31">
        <f>IFERROR(IF(Ejecutivos.[[#This Row],[Categoria]]="Supervisor",VLOOKUP(Ejecutivos.[[#This Row],[Ejecutivo]],Fórmulas!$C$59:$E$63,3,0),VLOOKUP(Ejecutivos.[[#This Row],[Categoria]],Fórmulas!$C$52:$F$54,3,0)),0)</f>
        <v>100000</v>
      </c>
      <c r="R19" s="27" t="str">
        <f>Ejecutivos.[[#This Row],[DNI]]</f>
        <v>46741483</v>
      </c>
      <c r="S19" s="27" t="str">
        <f>Ejecutivos.[[#This Row],[Ejecutivo]]</f>
        <v>Angelo Zavala</v>
      </c>
    </row>
    <row r="20" spans="1:19" ht="14.25" customHeight="1">
      <c r="A20" s="27" t="s">
        <v>223</v>
      </c>
      <c r="B20" s="28" t="s">
        <v>74</v>
      </c>
      <c r="C20" s="29" t="s">
        <v>64</v>
      </c>
      <c r="D20" s="29" t="s">
        <v>170</v>
      </c>
      <c r="E20" s="29" t="s">
        <v>53</v>
      </c>
      <c r="F20" s="29" t="s">
        <v>154</v>
      </c>
      <c r="G20" s="30">
        <v>46143</v>
      </c>
      <c r="H20" s="29" t="s">
        <v>224</v>
      </c>
      <c r="I20" s="29">
        <v>944290819</v>
      </c>
      <c r="J20" s="29" t="s">
        <v>122</v>
      </c>
      <c r="K20" s="29" t="s">
        <v>216</v>
      </c>
      <c r="L20" s="29" t="s">
        <v>148</v>
      </c>
      <c r="M20" s="29" t="s">
        <v>225</v>
      </c>
      <c r="N20" s="29" t="s">
        <v>834</v>
      </c>
      <c r="O20" s="29" t="s">
        <v>226</v>
      </c>
      <c r="P20" s="31">
        <f>IFERROR(IF(Ejecutivos.[[#This Row],[Categoria]]="Supervisor",VLOOKUP(Ejecutivos.[[#This Row],[Ejecutivo]],Fórmulas!$C$59:$E$63,2,0),VLOOKUP(Ejecutivos.[[#This Row],[Categoria]],Fórmulas!$C$52:$F$54,2,0)),0)</f>
        <v>2</v>
      </c>
      <c r="Q20" s="31">
        <f>IFERROR(IF(Ejecutivos.[[#This Row],[Categoria]]="Supervisor",VLOOKUP(Ejecutivos.[[#This Row],[Ejecutivo]],Fórmulas!$C$59:$E$63,3,0),VLOOKUP(Ejecutivos.[[#This Row],[Categoria]],Fórmulas!$C$52:$F$54,3,0)),0)</f>
        <v>300000</v>
      </c>
      <c r="R20" s="27" t="str">
        <f>Ejecutivos.[[#This Row],[DNI]]</f>
        <v>45311691</v>
      </c>
      <c r="S20" s="27" t="str">
        <f>Ejecutivos.[[#This Row],[Ejecutivo]]</f>
        <v>Edinson Chuyes</v>
      </c>
    </row>
    <row r="21" spans="1:19" ht="14.25" customHeight="1">
      <c r="A21" s="27" t="s">
        <v>227</v>
      </c>
      <c r="B21" s="28" t="s">
        <v>86</v>
      </c>
      <c r="C21" s="29" t="s">
        <v>64</v>
      </c>
      <c r="D21" s="29" t="s">
        <v>154</v>
      </c>
      <c r="E21" s="29" t="s">
        <v>87</v>
      </c>
      <c r="F21" s="29" t="s">
        <v>184</v>
      </c>
      <c r="G21" s="30">
        <v>46143</v>
      </c>
      <c r="H21" s="29" t="s">
        <v>228</v>
      </c>
      <c r="I21" s="29">
        <v>992165027</v>
      </c>
      <c r="J21" s="29" t="s">
        <v>122</v>
      </c>
      <c r="K21" s="29" t="s">
        <v>216</v>
      </c>
      <c r="L21" s="29" t="s">
        <v>148</v>
      </c>
      <c r="M21" s="29" t="s">
        <v>125</v>
      </c>
      <c r="N21" s="29" t="s">
        <v>835</v>
      </c>
      <c r="O21" s="29" t="s">
        <v>229</v>
      </c>
      <c r="P21" s="31">
        <f>IFERROR(IF(Ejecutivos.[[#This Row],[Categoria]]="Supervisor",VLOOKUP(Ejecutivos.[[#This Row],[Ejecutivo]],Fórmulas!$C$59:$E$63,2,0),VLOOKUP(Ejecutivos.[[#This Row],[Categoria]],Fórmulas!$C$52:$F$54,2,0)),0)</f>
        <v>2</v>
      </c>
      <c r="Q21" s="31">
        <f>IFERROR(IF(Ejecutivos.[[#This Row],[Categoria]]="Supervisor",VLOOKUP(Ejecutivos.[[#This Row],[Ejecutivo]],Fórmulas!$C$59:$E$63,3,0),VLOOKUP(Ejecutivos.[[#This Row],[Categoria]],Fórmulas!$C$52:$F$54,3,0)),0)</f>
        <v>100000</v>
      </c>
      <c r="R21" s="27" t="str">
        <f>Ejecutivos.[[#This Row],[DNI]]</f>
        <v>77016095</v>
      </c>
      <c r="S21" s="27" t="str">
        <f>Ejecutivos.[[#This Row],[Ejecutivo]]</f>
        <v>Guadalupe Del Pino</v>
      </c>
    </row>
    <row r="22" spans="1:19" ht="14.25" customHeight="1">
      <c r="A22" s="27" t="s">
        <v>230</v>
      </c>
      <c r="B22" s="28" t="s">
        <v>69</v>
      </c>
      <c r="C22" s="29" t="s">
        <v>64</v>
      </c>
      <c r="D22" s="29" t="s">
        <v>154</v>
      </c>
      <c r="E22" s="29" t="s">
        <v>821</v>
      </c>
      <c r="F22" s="29" t="s">
        <v>184</v>
      </c>
      <c r="G22" s="30">
        <v>46143</v>
      </c>
      <c r="H22" s="29" t="s">
        <v>231</v>
      </c>
      <c r="I22" s="29">
        <v>973824987</v>
      </c>
      <c r="J22" s="29" t="s">
        <v>122</v>
      </c>
      <c r="K22" s="29" t="s">
        <v>216</v>
      </c>
      <c r="L22" s="29" t="s">
        <v>148</v>
      </c>
      <c r="M22" s="29" t="s">
        <v>128</v>
      </c>
      <c r="N22" s="29" t="s">
        <v>836</v>
      </c>
      <c r="O22" s="29" t="s">
        <v>232</v>
      </c>
      <c r="P22" s="31">
        <f>IFERROR(IF(Ejecutivos.[[#This Row],[Categoria]]="Supervisor",VLOOKUP(Ejecutivos.[[#This Row],[Ejecutivo]],Fórmulas!$C$59:$E$63,2,0),VLOOKUP(Ejecutivos.[[#This Row],[Categoria]],Fórmulas!$C$52:$F$54,2,0)),0)</f>
        <v>2</v>
      </c>
      <c r="Q22" s="31">
        <f>IFERROR(IF(Ejecutivos.[[#This Row],[Categoria]]="Supervisor",VLOOKUP(Ejecutivos.[[#This Row],[Ejecutivo]],Fórmulas!$C$59:$E$63,3,0),VLOOKUP(Ejecutivos.[[#This Row],[Categoria]],Fórmulas!$C$52:$F$54,3,0)),0)</f>
        <v>100000</v>
      </c>
      <c r="R22" s="27" t="str">
        <f>Ejecutivos.[[#This Row],[DNI]]</f>
        <v>41309076</v>
      </c>
      <c r="S22" s="27" t="str">
        <f>Ejecutivos.[[#This Row],[Ejecutivo]]</f>
        <v>Jonathan Lavado</v>
      </c>
    </row>
    <row r="23" spans="1:19" ht="14.25" customHeight="1">
      <c r="A23" s="27" t="s">
        <v>233</v>
      </c>
      <c r="B23" s="28" t="s">
        <v>63</v>
      </c>
      <c r="C23" s="29" t="s">
        <v>64</v>
      </c>
      <c r="D23" s="29" t="s">
        <v>154</v>
      </c>
      <c r="E23" s="29" t="s">
        <v>65</v>
      </c>
      <c r="F23" s="29" t="s">
        <v>154</v>
      </c>
      <c r="G23" s="30">
        <v>46143</v>
      </c>
      <c r="H23" s="29" t="s">
        <v>234</v>
      </c>
      <c r="I23" s="29">
        <v>964152198</v>
      </c>
      <c r="J23" s="29" t="s">
        <v>122</v>
      </c>
      <c r="K23" s="29" t="s">
        <v>216</v>
      </c>
      <c r="L23" s="29" t="s">
        <v>148</v>
      </c>
      <c r="M23" s="29" t="s">
        <v>235</v>
      </c>
      <c r="N23" s="29" t="s">
        <v>837</v>
      </c>
      <c r="O23" s="29" t="s">
        <v>236</v>
      </c>
      <c r="P23" s="31">
        <f>IFERROR(IF(Ejecutivos.[[#This Row],[Categoria]]="Supervisor",VLOOKUP(Ejecutivos.[[#This Row],[Ejecutivo]],Fórmulas!$C$59:$E$63,2,0),VLOOKUP(Ejecutivos.[[#This Row],[Categoria]],Fórmulas!$C$52:$F$54,2,0)),0)</f>
        <v>2</v>
      </c>
      <c r="Q23" s="31">
        <f>IFERROR(IF(Ejecutivos.[[#This Row],[Categoria]]="Supervisor",VLOOKUP(Ejecutivos.[[#This Row],[Ejecutivo]],Fórmulas!$C$59:$E$63,3,0),VLOOKUP(Ejecutivos.[[#This Row],[Categoria]],Fórmulas!$C$52:$F$54,3,0)),0)</f>
        <v>100000</v>
      </c>
      <c r="R23" s="27" t="str">
        <f>Ejecutivos.[[#This Row],[DNI]]</f>
        <v>70151010</v>
      </c>
      <c r="S23" s="27" t="str">
        <f>Ejecutivos.[[#This Row],[Ejecutivo]]</f>
        <v>Richard Benites</v>
      </c>
    </row>
    <row r="24" spans="1:19" ht="14.25" customHeight="1">
      <c r="A24" s="32" t="s">
        <v>928</v>
      </c>
      <c r="B24" s="33" t="s">
        <v>937</v>
      </c>
      <c r="C24" s="34" t="s">
        <v>64</v>
      </c>
      <c r="D24" s="34" t="s">
        <v>152</v>
      </c>
      <c r="E24" s="93" t="s">
        <v>933</v>
      </c>
      <c r="F24" s="34" t="s">
        <v>184</v>
      </c>
      <c r="G24" s="35">
        <v>46189</v>
      </c>
      <c r="H24" s="93" t="s">
        <v>943</v>
      </c>
      <c r="I24" s="93">
        <v>920661176</v>
      </c>
      <c r="J24" s="34" t="s">
        <v>122</v>
      </c>
      <c r="K24" s="34" t="s">
        <v>216</v>
      </c>
      <c r="L24" s="34" t="s">
        <v>148</v>
      </c>
      <c r="M24" s="93" t="s">
        <v>206</v>
      </c>
      <c r="N24" s="93" t="s">
        <v>206</v>
      </c>
      <c r="O24" s="93" t="s">
        <v>206</v>
      </c>
      <c r="P24" s="36">
        <f>IFERROR(IF(Ejecutivos.[[#This Row],[Categoria]]="Supervisor",VLOOKUP(Ejecutivos.[[#This Row],[Ejecutivo]],Fórmulas!$C$59:$E$63,2,0),VLOOKUP(Ejecutivos.[[#This Row],[Categoria]],Fórmulas!$C$52:$F$54,2,0)),0)</f>
        <v>2</v>
      </c>
      <c r="Q24" s="36">
        <f>IFERROR(IF(Ejecutivos.[[#This Row],[Categoria]]="Supervisor",VLOOKUP(Ejecutivos.[[#This Row],[Ejecutivo]],Fórmulas!$C$59:$E$63,3,0),VLOOKUP(Ejecutivos.[[#This Row],[Categoria]],Fórmulas!$C$52:$F$54,3,0)),0)</f>
        <v>150000</v>
      </c>
      <c r="R24" s="32" t="str">
        <f>Ejecutivos.[[#This Row],[DNI]]</f>
        <v>47684403</v>
      </c>
      <c r="S24" s="32" t="str">
        <f>Ejecutivos.[[#This Row],[Ejecutivo]]</f>
        <v>Jonathan Coronel</v>
      </c>
    </row>
    <row r="25" spans="1:19" ht="14.25" customHeight="1">
      <c r="A25" s="22" t="s">
        <v>237</v>
      </c>
      <c r="B25" s="23" t="s">
        <v>98</v>
      </c>
      <c r="C25" s="24" t="s">
        <v>98</v>
      </c>
      <c r="D25" s="24" t="s">
        <v>21</v>
      </c>
      <c r="E25" s="24" t="s">
        <v>238</v>
      </c>
      <c r="F25" s="24" t="s">
        <v>21</v>
      </c>
      <c r="G25" s="25">
        <v>46143</v>
      </c>
      <c r="H25" s="24" t="s">
        <v>239</v>
      </c>
      <c r="I25" s="24">
        <v>934712424</v>
      </c>
      <c r="J25" s="24" t="s">
        <v>240</v>
      </c>
      <c r="K25" s="24" t="s">
        <v>241</v>
      </c>
      <c r="L25" s="24" t="s">
        <v>148</v>
      </c>
      <c r="M25" s="24" t="s">
        <v>149</v>
      </c>
      <c r="N25" s="24" t="s">
        <v>838</v>
      </c>
      <c r="O25" s="24" t="s">
        <v>149</v>
      </c>
      <c r="P25" s="26">
        <f>IFERROR(IF(Ejecutivos.[[#This Row],[Categoria]]="Supervisor",VLOOKUP(Ejecutivos.[[#This Row],[Ejecutivo]],Fórmulas!$C$59:$E$63,2,0),VLOOKUP(Ejecutivos.[[#This Row],[Categoria]],Fórmulas!$C$52:$F$54,2,0)),0)</f>
        <v>2</v>
      </c>
      <c r="Q25" s="26">
        <f>IFERROR(IF(Ejecutivos.[[#This Row],[Categoria]]="Supervisor",VLOOKUP(Ejecutivos.[[#This Row],[Ejecutivo]],Fórmulas!$C$59:$E$63,3,0),VLOOKUP(Ejecutivos.[[#This Row],[Categoria]],Fórmulas!$C$52:$F$54,3,0)),0)</f>
        <v>1000000</v>
      </c>
      <c r="R25" s="22" t="str">
        <f>Ejecutivos.[[#This Row],[DNI]]</f>
        <v>70430554</v>
      </c>
      <c r="S25" s="22" t="str">
        <f>Ejecutivos.[[#This Row],[Ejecutivo]]</f>
        <v>Jonathan Lapoint</v>
      </c>
    </row>
    <row r="26" spans="1:19" ht="14.25" customHeight="1">
      <c r="A26" s="27" t="s">
        <v>242</v>
      </c>
      <c r="B26" s="28" t="s">
        <v>97</v>
      </c>
      <c r="C26" s="29" t="s">
        <v>98</v>
      </c>
      <c r="D26" s="29" t="s">
        <v>152</v>
      </c>
      <c r="E26" s="29" t="s">
        <v>99</v>
      </c>
      <c r="F26" s="29" t="s">
        <v>154</v>
      </c>
      <c r="G26" s="30">
        <v>46143</v>
      </c>
      <c r="H26" s="29" t="s">
        <v>243</v>
      </c>
      <c r="I26" s="29">
        <v>995963073</v>
      </c>
      <c r="J26" s="29" t="s">
        <v>240</v>
      </c>
      <c r="K26" s="29" t="s">
        <v>241</v>
      </c>
      <c r="L26" s="29" t="s">
        <v>148</v>
      </c>
      <c r="M26" s="29" t="s">
        <v>244</v>
      </c>
      <c r="N26" s="29" t="s">
        <v>839</v>
      </c>
      <c r="O26" s="29" t="s">
        <v>245</v>
      </c>
      <c r="P26" s="31">
        <f>IFERROR(IF(Ejecutivos.[[#This Row],[Categoria]]="Supervisor",VLOOKUP(Ejecutivos.[[#This Row],[Ejecutivo]],Fórmulas!$C$59:$E$63,2,0),VLOOKUP(Ejecutivos.[[#This Row],[Categoria]],Fórmulas!$C$52:$F$54,2,0)),0)</f>
        <v>2</v>
      </c>
      <c r="Q26" s="31">
        <f>IFERROR(IF(Ejecutivos.[[#This Row],[Categoria]]="Supervisor",VLOOKUP(Ejecutivos.[[#This Row],[Ejecutivo]],Fórmulas!$C$59:$E$63,3,0),VLOOKUP(Ejecutivos.[[#This Row],[Categoria]],Fórmulas!$C$52:$F$54,3,0)),0)</f>
        <v>150000</v>
      </c>
      <c r="R26" s="27" t="str">
        <f>Ejecutivos.[[#This Row],[DNI]]</f>
        <v>76032645</v>
      </c>
      <c r="S26" s="27" t="str">
        <f>Ejecutivos.[[#This Row],[Ejecutivo]]</f>
        <v>Alberto Chaname</v>
      </c>
    </row>
    <row r="27" spans="1:19" ht="14.25" customHeight="1">
      <c r="A27" s="27" t="s">
        <v>246</v>
      </c>
      <c r="B27" s="28" t="s">
        <v>247</v>
      </c>
      <c r="C27" s="29" t="s">
        <v>98</v>
      </c>
      <c r="D27" s="29" t="s">
        <v>154</v>
      </c>
      <c r="E27" s="29" t="s">
        <v>248</v>
      </c>
      <c r="F27" s="29" t="s">
        <v>184</v>
      </c>
      <c r="G27" s="30">
        <v>46143</v>
      </c>
      <c r="H27" s="29" t="s">
        <v>249</v>
      </c>
      <c r="I27" s="29">
        <v>994502138</v>
      </c>
      <c r="J27" s="29" t="s">
        <v>240</v>
      </c>
      <c r="K27" s="29" t="s">
        <v>241</v>
      </c>
      <c r="L27" s="29" t="s">
        <v>148</v>
      </c>
      <c r="M27" s="29" t="s">
        <v>250</v>
      </c>
      <c r="N27" s="29" t="s">
        <v>840</v>
      </c>
      <c r="O27" s="29" t="s">
        <v>251</v>
      </c>
      <c r="P27" s="31">
        <f>IFERROR(IF(Ejecutivos.[[#This Row],[Categoria]]="Supervisor",VLOOKUP(Ejecutivos.[[#This Row],[Ejecutivo]],Fórmulas!$C$59:$E$63,2,0),VLOOKUP(Ejecutivos.[[#This Row],[Categoria]],Fórmulas!$C$52:$F$54,2,0)),0)</f>
        <v>2</v>
      </c>
      <c r="Q27" s="31">
        <f>IFERROR(IF(Ejecutivos.[[#This Row],[Categoria]]="Supervisor",VLOOKUP(Ejecutivos.[[#This Row],[Ejecutivo]],Fórmulas!$C$59:$E$63,3,0),VLOOKUP(Ejecutivos.[[#This Row],[Categoria]],Fórmulas!$C$52:$F$54,3,0)),0)</f>
        <v>100000</v>
      </c>
      <c r="R27" s="27" t="str">
        <f>Ejecutivos.[[#This Row],[DNI]]</f>
        <v>42368700</v>
      </c>
      <c r="S27" s="27" t="str">
        <f>Ejecutivos.[[#This Row],[Ejecutivo]]</f>
        <v>Billy Villacrez</v>
      </c>
    </row>
    <row r="28" spans="1:19" ht="14.25" customHeight="1">
      <c r="A28" s="27" t="s">
        <v>257</v>
      </c>
      <c r="B28" s="28" t="s">
        <v>258</v>
      </c>
      <c r="C28" s="29" t="s">
        <v>98</v>
      </c>
      <c r="D28" s="29" t="s">
        <v>154</v>
      </c>
      <c r="E28" s="29" t="s">
        <v>259</v>
      </c>
      <c r="F28" s="29" t="s">
        <v>184</v>
      </c>
      <c r="G28" s="30">
        <v>46143</v>
      </c>
      <c r="H28" s="29" t="s">
        <v>260</v>
      </c>
      <c r="I28" s="29">
        <v>990189915</v>
      </c>
      <c r="J28" s="29" t="s">
        <v>261</v>
      </c>
      <c r="K28" s="29" t="s">
        <v>241</v>
      </c>
      <c r="L28" s="29" t="s">
        <v>148</v>
      </c>
      <c r="M28" s="29" t="s">
        <v>262</v>
      </c>
      <c r="N28" s="29" t="s">
        <v>841</v>
      </c>
      <c r="O28" s="29" t="s">
        <v>263</v>
      </c>
      <c r="P28" s="31">
        <f>IFERROR(IF(Ejecutivos.[[#This Row],[Categoria]]="Supervisor",VLOOKUP(Ejecutivos.[[#This Row],[Ejecutivo]],Fórmulas!$C$59:$E$63,2,0),VLOOKUP(Ejecutivos.[[#This Row],[Categoria]],Fórmulas!$C$52:$F$54,2,0)),0)</f>
        <v>2</v>
      </c>
      <c r="Q28" s="31">
        <f>IFERROR(IF(Ejecutivos.[[#This Row],[Categoria]]="Supervisor",VLOOKUP(Ejecutivos.[[#This Row],[Ejecutivo]],Fórmulas!$C$59:$E$63,3,0),VLOOKUP(Ejecutivos.[[#This Row],[Categoria]],Fórmulas!$C$52:$F$54,3,0)),0)</f>
        <v>100000</v>
      </c>
      <c r="R28" s="27" t="str">
        <f>Ejecutivos.[[#This Row],[DNI]]</f>
        <v>74065646</v>
      </c>
      <c r="S28" s="27" t="str">
        <f>Ejecutivos.[[#This Row],[Ejecutivo]]</f>
        <v>Claudia Negrete</v>
      </c>
    </row>
    <row r="29" spans="1:19" ht="14.25" customHeight="1">
      <c r="A29" s="27" t="s">
        <v>264</v>
      </c>
      <c r="B29" s="28" t="s">
        <v>265</v>
      </c>
      <c r="C29" s="29" t="s">
        <v>98</v>
      </c>
      <c r="D29" s="29" t="s">
        <v>154</v>
      </c>
      <c r="E29" s="29" t="s">
        <v>266</v>
      </c>
      <c r="F29" s="29" t="s">
        <v>184</v>
      </c>
      <c r="G29" s="30">
        <v>46143</v>
      </c>
      <c r="H29" s="29" t="s">
        <v>267</v>
      </c>
      <c r="I29" s="29">
        <v>934917447</v>
      </c>
      <c r="J29" s="29" t="s">
        <v>261</v>
      </c>
      <c r="K29" s="29" t="s">
        <v>241</v>
      </c>
      <c r="L29" s="29" t="s">
        <v>148</v>
      </c>
      <c r="M29" s="29" t="s">
        <v>268</v>
      </c>
      <c r="N29" s="29" t="s">
        <v>842</v>
      </c>
      <c r="O29" s="29" t="s">
        <v>269</v>
      </c>
      <c r="P29" s="31">
        <f>IFERROR(IF(Ejecutivos.[[#This Row],[Categoria]]="Supervisor",VLOOKUP(Ejecutivos.[[#This Row],[Ejecutivo]],Fórmulas!$C$59:$E$63,2,0),VLOOKUP(Ejecutivos.[[#This Row],[Categoria]],Fórmulas!$C$52:$F$54,2,0)),0)</f>
        <v>2</v>
      </c>
      <c r="Q29" s="31">
        <f>IFERROR(IF(Ejecutivos.[[#This Row],[Categoria]]="Supervisor",VLOOKUP(Ejecutivos.[[#This Row],[Ejecutivo]],Fórmulas!$C$59:$E$63,3,0),VLOOKUP(Ejecutivos.[[#This Row],[Categoria]],Fórmulas!$C$52:$F$54,3,0)),0)</f>
        <v>100000</v>
      </c>
      <c r="R29" s="27" t="str">
        <f>Ejecutivos.[[#This Row],[DNI]]</f>
        <v>72641569</v>
      </c>
      <c r="S29" s="27" t="str">
        <f>Ejecutivos.[[#This Row],[Ejecutivo]]</f>
        <v>Katherine Zuloeta</v>
      </c>
    </row>
    <row r="30" spans="1:19" ht="14.25" customHeight="1">
      <c r="A30" s="27" t="s">
        <v>270</v>
      </c>
      <c r="B30" s="28" t="s">
        <v>271</v>
      </c>
      <c r="C30" s="29" t="s">
        <v>98</v>
      </c>
      <c r="D30" s="29" t="s">
        <v>154</v>
      </c>
      <c r="E30" s="29" t="s">
        <v>272</v>
      </c>
      <c r="F30" s="29" t="s">
        <v>184</v>
      </c>
      <c r="G30" s="30">
        <v>46143</v>
      </c>
      <c r="H30" s="29" t="s">
        <v>273</v>
      </c>
      <c r="I30" s="29">
        <v>980946913</v>
      </c>
      <c r="J30" s="29" t="s">
        <v>274</v>
      </c>
      <c r="K30" s="29" t="s">
        <v>241</v>
      </c>
      <c r="L30" s="29" t="s">
        <v>148</v>
      </c>
      <c r="M30" s="29" t="s">
        <v>275</v>
      </c>
      <c r="N30" s="29" t="s">
        <v>843</v>
      </c>
      <c r="O30" s="29" t="s">
        <v>276</v>
      </c>
      <c r="P30" s="31">
        <f>IFERROR(IF(Ejecutivos.[[#This Row],[Categoria]]="Supervisor",VLOOKUP(Ejecutivos.[[#This Row],[Ejecutivo]],Fórmulas!$C$59:$E$63,2,0),VLOOKUP(Ejecutivos.[[#This Row],[Categoria]],Fórmulas!$C$52:$F$54,2,0)),0)</f>
        <v>2</v>
      </c>
      <c r="Q30" s="31">
        <f>IFERROR(IF(Ejecutivos.[[#This Row],[Categoria]]="Supervisor",VLOOKUP(Ejecutivos.[[#This Row],[Ejecutivo]],Fórmulas!$C$59:$E$63,3,0),VLOOKUP(Ejecutivos.[[#This Row],[Categoria]],Fórmulas!$C$52:$F$54,3,0)),0)</f>
        <v>100000</v>
      </c>
      <c r="R30" s="27" t="str">
        <f>Ejecutivos.[[#This Row],[DNI]]</f>
        <v>00100436</v>
      </c>
      <c r="S30" s="27" t="str">
        <f>Ejecutivos.[[#This Row],[Ejecutivo]]</f>
        <v>Lin Ley Casique</v>
      </c>
    </row>
    <row r="31" spans="1:19" ht="14.25" customHeight="1">
      <c r="A31" s="27" t="s">
        <v>277</v>
      </c>
      <c r="B31" s="29" t="s">
        <v>278</v>
      </c>
      <c r="C31" s="29" t="s">
        <v>98</v>
      </c>
      <c r="D31" s="29" t="s">
        <v>154</v>
      </c>
      <c r="E31" s="29" t="s">
        <v>279</v>
      </c>
      <c r="F31" s="29" t="s">
        <v>184</v>
      </c>
      <c r="G31" s="30">
        <v>46143</v>
      </c>
      <c r="H31" s="29" t="s">
        <v>280</v>
      </c>
      <c r="I31" s="29">
        <v>900487742</v>
      </c>
      <c r="J31" s="29" t="s">
        <v>240</v>
      </c>
      <c r="K31" s="29" t="s">
        <v>241</v>
      </c>
      <c r="L31" s="29" t="s">
        <v>148</v>
      </c>
      <c r="M31" s="29" t="s">
        <v>281</v>
      </c>
      <c r="N31" s="29" t="s">
        <v>206</v>
      </c>
      <c r="O31" s="29" t="s">
        <v>282</v>
      </c>
      <c r="P31" s="31">
        <f>IFERROR(IF(Ejecutivos.[[#This Row],[Categoria]]="Supervisor",VLOOKUP(Ejecutivos.[[#This Row],[Ejecutivo]],Fórmulas!$C$59:$E$63,2,0),VLOOKUP(Ejecutivos.[[#This Row],[Categoria]],Fórmulas!$C$52:$F$54,2,0)),0)</f>
        <v>2</v>
      </c>
      <c r="Q31" s="31">
        <f>IFERROR(IF(Ejecutivos.[[#This Row],[Categoria]]="Supervisor",VLOOKUP(Ejecutivos.[[#This Row],[Ejecutivo]],Fórmulas!$C$59:$E$63,3,0),VLOOKUP(Ejecutivos.[[#This Row],[Categoria]],Fórmulas!$C$52:$F$54,3,0)),0)</f>
        <v>100000</v>
      </c>
      <c r="R31" s="27" t="str">
        <f>Ejecutivos.[[#This Row],[DNI]]</f>
        <v>42858532</v>
      </c>
      <c r="S31" s="27" t="str">
        <f>Ejecutivos.[[#This Row],[Ejecutivo]]</f>
        <v>Marlon Martinez</v>
      </c>
    </row>
    <row r="32" spans="1:19" ht="14.25" customHeight="1">
      <c r="A32" s="27" t="s">
        <v>283</v>
      </c>
      <c r="B32" s="28" t="s">
        <v>284</v>
      </c>
      <c r="C32" s="29" t="s">
        <v>98</v>
      </c>
      <c r="D32" s="29" t="s">
        <v>152</v>
      </c>
      <c r="E32" s="29" t="s">
        <v>285</v>
      </c>
      <c r="F32" s="29" t="s">
        <v>184</v>
      </c>
      <c r="G32" s="30">
        <v>46143</v>
      </c>
      <c r="H32" s="29" t="s">
        <v>286</v>
      </c>
      <c r="I32" s="29">
        <v>902361503</v>
      </c>
      <c r="J32" s="29" t="s">
        <v>240</v>
      </c>
      <c r="K32" s="29" t="s">
        <v>241</v>
      </c>
      <c r="L32" s="29" t="s">
        <v>148</v>
      </c>
      <c r="M32" s="29" t="s">
        <v>287</v>
      </c>
      <c r="N32" s="29" t="s">
        <v>844</v>
      </c>
      <c r="O32" s="29" t="s">
        <v>288</v>
      </c>
      <c r="P32" s="31">
        <f>IFERROR(IF(Ejecutivos.[[#This Row],[Categoria]]="Supervisor",VLOOKUP(Ejecutivos.[[#This Row],[Ejecutivo]],Fórmulas!$C$59:$E$63,2,0),VLOOKUP(Ejecutivos.[[#This Row],[Categoria]],Fórmulas!$C$52:$F$54,2,0)),0)</f>
        <v>2</v>
      </c>
      <c r="Q32" s="31">
        <f>IFERROR(IF(Ejecutivos.[[#This Row],[Categoria]]="Supervisor",VLOOKUP(Ejecutivos.[[#This Row],[Ejecutivo]],Fórmulas!$C$59:$E$63,3,0),VLOOKUP(Ejecutivos.[[#This Row],[Categoria]],Fórmulas!$C$52:$F$54,3,0)),0)</f>
        <v>150000</v>
      </c>
      <c r="R32" s="27" t="str">
        <f>Ejecutivos.[[#This Row],[DNI]]</f>
        <v>71870286</v>
      </c>
      <c r="S32" s="27" t="str">
        <f>Ejecutivos.[[#This Row],[Ejecutivo]]</f>
        <v>William Cortez</v>
      </c>
    </row>
    <row r="33" spans="1:19" ht="14.25" customHeight="1">
      <c r="A33" s="22" t="s">
        <v>289</v>
      </c>
      <c r="B33" s="23" t="s">
        <v>42</v>
      </c>
      <c r="C33" s="24" t="s">
        <v>42</v>
      </c>
      <c r="D33" s="24" t="s">
        <v>21</v>
      </c>
      <c r="E33" s="24" t="s">
        <v>290</v>
      </c>
      <c r="F33" s="24" t="s">
        <v>21</v>
      </c>
      <c r="G33" s="25">
        <v>46143</v>
      </c>
      <c r="H33" s="24" t="s">
        <v>291</v>
      </c>
      <c r="I33" s="24">
        <v>995540265</v>
      </c>
      <c r="J33" s="24" t="s">
        <v>292</v>
      </c>
      <c r="K33" s="24" t="s">
        <v>293</v>
      </c>
      <c r="L33" s="24" t="s">
        <v>148</v>
      </c>
      <c r="M33" s="24" t="s">
        <v>149</v>
      </c>
      <c r="N33" s="24" t="s">
        <v>845</v>
      </c>
      <c r="O33" s="24" t="s">
        <v>149</v>
      </c>
      <c r="P33" s="26">
        <f>IFERROR(IF(Ejecutivos.[[#This Row],[Categoria]]="Supervisor",VLOOKUP(Ejecutivos.[[#This Row],[Ejecutivo]],Fórmulas!$C$59:$E$63,2,0),VLOOKUP(Ejecutivos.[[#This Row],[Categoria]],Fórmulas!$C$52:$F$54,2,0)),0)</f>
        <v>2</v>
      </c>
      <c r="Q33" s="26">
        <f>IFERROR(IF(Ejecutivos.[[#This Row],[Categoria]]="Supervisor",VLOOKUP(Ejecutivos.[[#This Row],[Ejecutivo]],Fórmulas!$C$59:$E$63,3,0),VLOOKUP(Ejecutivos.[[#This Row],[Categoria]],Fórmulas!$C$52:$F$54,3,0)),0)</f>
        <v>1000000</v>
      </c>
      <c r="R33" s="22" t="str">
        <f>Ejecutivos.[[#This Row],[DNI]]</f>
        <v>70059865</v>
      </c>
      <c r="S33" s="22" t="str">
        <f>Ejecutivos.[[#This Row],[Ejecutivo]]</f>
        <v>Jorge Fuentes</v>
      </c>
    </row>
    <row r="34" spans="1:19" ht="14.25" customHeight="1">
      <c r="A34" s="32" t="s">
        <v>294</v>
      </c>
      <c r="B34" s="33" t="s">
        <v>52</v>
      </c>
      <c r="C34" s="34" t="s">
        <v>42</v>
      </c>
      <c r="D34" s="34" t="s">
        <v>170</v>
      </c>
      <c r="E34" s="34" t="s">
        <v>295</v>
      </c>
      <c r="F34" s="34" t="s">
        <v>154</v>
      </c>
      <c r="G34" s="35">
        <v>46143</v>
      </c>
      <c r="H34" s="34" t="s">
        <v>296</v>
      </c>
      <c r="I34" s="34">
        <v>986274028</v>
      </c>
      <c r="J34" s="29" t="s">
        <v>292</v>
      </c>
      <c r="K34" s="29" t="s">
        <v>293</v>
      </c>
      <c r="L34" s="29" t="s">
        <v>148</v>
      </c>
      <c r="M34" s="34" t="s">
        <v>297</v>
      </c>
      <c r="N34" s="34" t="s">
        <v>846</v>
      </c>
      <c r="O34" s="34" t="s">
        <v>298</v>
      </c>
      <c r="P34" s="36">
        <f>IFERROR(IF(Ejecutivos.[[#This Row],[Categoria]]="Supervisor",VLOOKUP(Ejecutivos.[[#This Row],[Ejecutivo]],Fórmulas!$C$59:$E$63,2,0),VLOOKUP(Ejecutivos.[[#This Row],[Categoria]],Fórmulas!$C$52:$F$54,2,0)),0)</f>
        <v>2</v>
      </c>
      <c r="Q34" s="36">
        <f>IFERROR(IF(Ejecutivos.[[#This Row],[Categoria]]="Supervisor",VLOOKUP(Ejecutivos.[[#This Row],[Ejecutivo]],Fórmulas!$C$59:$E$63,3,0),VLOOKUP(Ejecutivos.[[#This Row],[Categoria]],Fórmulas!$C$52:$F$54,3,0)),0)</f>
        <v>300000</v>
      </c>
      <c r="R34" s="32" t="str">
        <f>Ejecutivos.[[#This Row],[DNI]]</f>
        <v>47045287</v>
      </c>
      <c r="S34" s="32" t="str">
        <f>Ejecutivos.[[#This Row],[Ejecutivo]]</f>
        <v>Antoni Sifuentes</v>
      </c>
    </row>
    <row r="35" spans="1:19" ht="14.25" customHeight="1">
      <c r="A35" s="27" t="s">
        <v>299</v>
      </c>
      <c r="B35" s="28" t="s">
        <v>41</v>
      </c>
      <c r="C35" s="29" t="s">
        <v>42</v>
      </c>
      <c r="D35" s="29" t="s">
        <v>152</v>
      </c>
      <c r="E35" s="29" t="s">
        <v>43</v>
      </c>
      <c r="F35" s="29" t="s">
        <v>184</v>
      </c>
      <c r="G35" s="30">
        <v>46143</v>
      </c>
      <c r="H35" s="29" t="s">
        <v>300</v>
      </c>
      <c r="I35" s="29">
        <v>939986055</v>
      </c>
      <c r="J35" s="29" t="s">
        <v>292</v>
      </c>
      <c r="K35" s="29" t="s">
        <v>293</v>
      </c>
      <c r="L35" s="29" t="s">
        <v>148</v>
      </c>
      <c r="M35" s="29" t="s">
        <v>118</v>
      </c>
      <c r="N35" s="29" t="s">
        <v>847</v>
      </c>
      <c r="O35" s="29" t="s">
        <v>301</v>
      </c>
      <c r="P35" s="31">
        <f>IFERROR(IF(Ejecutivos.[[#This Row],[Categoria]]="Supervisor",VLOOKUP(Ejecutivos.[[#This Row],[Ejecutivo]],Fórmulas!$C$59:$E$63,2,0),VLOOKUP(Ejecutivos.[[#This Row],[Categoria]],Fórmulas!$C$52:$F$54,2,0)),0)</f>
        <v>2</v>
      </c>
      <c r="Q35" s="31">
        <f>IFERROR(IF(Ejecutivos.[[#This Row],[Categoria]]="Supervisor",VLOOKUP(Ejecutivos.[[#This Row],[Ejecutivo]],Fórmulas!$C$59:$E$63,3,0),VLOOKUP(Ejecutivos.[[#This Row],[Categoria]],Fórmulas!$C$52:$F$54,3,0)),0)</f>
        <v>150000</v>
      </c>
      <c r="R35" s="27" t="str">
        <f>Ejecutivos.[[#This Row],[DNI]]</f>
        <v>002409208</v>
      </c>
      <c r="S35" s="27" t="str">
        <f>Ejecutivos.[[#This Row],[Ejecutivo]]</f>
        <v>Jose Mujica</v>
      </c>
    </row>
    <row r="36" spans="1:19" ht="14.25" customHeight="1">
      <c r="A36" s="27" t="s">
        <v>710</v>
      </c>
      <c r="B36" s="28" t="s">
        <v>709</v>
      </c>
      <c r="C36" s="29" t="s">
        <v>42</v>
      </c>
      <c r="D36" s="29" t="s">
        <v>152</v>
      </c>
      <c r="E36" s="78" t="s">
        <v>711</v>
      </c>
      <c r="F36" s="34" t="s">
        <v>154</v>
      </c>
      <c r="G36" s="30">
        <v>46174</v>
      </c>
      <c r="H36" s="78" t="s">
        <v>708</v>
      </c>
      <c r="I36" s="78">
        <v>965476324</v>
      </c>
      <c r="J36" s="29" t="s">
        <v>322</v>
      </c>
      <c r="K36" s="29" t="s">
        <v>293</v>
      </c>
      <c r="L36" s="78" t="s">
        <v>148</v>
      </c>
      <c r="M36" s="78" t="s">
        <v>822</v>
      </c>
      <c r="N36" s="29" t="s">
        <v>206</v>
      </c>
      <c r="O36" s="78" t="s">
        <v>206</v>
      </c>
      <c r="P36" s="31">
        <f>IFERROR(IF(Ejecutivos.[[#This Row],[Categoria]]="Supervisor",VLOOKUP(Ejecutivos.[[#This Row],[Ejecutivo]],Fórmulas!$C$59:$E$63,2,0),VLOOKUP(Ejecutivos.[[#This Row],[Categoria]],Fórmulas!$C$52:$F$54,2,0)),0)</f>
        <v>2</v>
      </c>
      <c r="Q36" s="31">
        <f>IFERROR(IF(Ejecutivos.[[#This Row],[Categoria]]="Supervisor",VLOOKUP(Ejecutivos.[[#This Row],[Ejecutivo]],Fórmulas!$C$59:$E$63,3,0),VLOOKUP(Ejecutivos.[[#This Row],[Categoria]],Fórmulas!$C$52:$F$54,3,0)),0)</f>
        <v>150000</v>
      </c>
      <c r="R36" s="27" t="str">
        <f>Ejecutivos.[[#This Row],[DNI]]</f>
        <v>74636121</v>
      </c>
      <c r="S36" s="27" t="str">
        <f>Ejecutivos.[[#This Row],[Ejecutivo]]</f>
        <v>Jossue Martos</v>
      </c>
    </row>
    <row r="37" spans="1:19" ht="14.25" customHeight="1">
      <c r="A37" s="27" t="s">
        <v>306</v>
      </c>
      <c r="B37" s="28" t="s">
        <v>307</v>
      </c>
      <c r="C37" s="29" t="s">
        <v>42</v>
      </c>
      <c r="D37" s="29" t="s">
        <v>154</v>
      </c>
      <c r="E37" s="29" t="s">
        <v>308</v>
      </c>
      <c r="F37" s="29" t="s">
        <v>184</v>
      </c>
      <c r="G37" s="30">
        <v>46143</v>
      </c>
      <c r="H37" s="29" t="s">
        <v>309</v>
      </c>
      <c r="I37" s="29">
        <v>985000382</v>
      </c>
      <c r="J37" s="29" t="s">
        <v>292</v>
      </c>
      <c r="K37" s="29" t="s">
        <v>293</v>
      </c>
      <c r="L37" s="29" t="s">
        <v>148</v>
      </c>
      <c r="M37" s="29" t="s">
        <v>310</v>
      </c>
      <c r="N37" s="29" t="s">
        <v>848</v>
      </c>
      <c r="O37" s="29" t="s">
        <v>311</v>
      </c>
      <c r="P37" s="31">
        <f>IFERROR(IF(Ejecutivos.[[#This Row],[Categoria]]="Supervisor",VLOOKUP(Ejecutivos.[[#This Row],[Ejecutivo]],Fórmulas!$C$59:$E$63,2,0),VLOOKUP(Ejecutivos.[[#This Row],[Categoria]],Fórmulas!$C$52:$F$54,2,0)),0)</f>
        <v>2</v>
      </c>
      <c r="Q37" s="31">
        <f>IFERROR(IF(Ejecutivos.[[#This Row],[Categoria]]="Supervisor",VLOOKUP(Ejecutivos.[[#This Row],[Ejecutivo]],Fórmulas!$C$59:$E$63,3,0),VLOOKUP(Ejecutivos.[[#This Row],[Categoria]],Fórmulas!$C$52:$F$54,3,0)),0)</f>
        <v>100000</v>
      </c>
      <c r="R37" s="27" t="str">
        <f>Ejecutivos.[[#This Row],[DNI]]</f>
        <v>77477883</v>
      </c>
      <c r="S37" s="27" t="str">
        <f>Ejecutivos.[[#This Row],[Ejecutivo]]</f>
        <v>Junior Henriquez</v>
      </c>
    </row>
    <row r="38" spans="1:19" ht="14.25" customHeight="1">
      <c r="A38" s="27" t="s">
        <v>312</v>
      </c>
      <c r="B38" s="28" t="s">
        <v>313</v>
      </c>
      <c r="C38" s="29" t="s">
        <v>42</v>
      </c>
      <c r="D38" s="29" t="s">
        <v>154</v>
      </c>
      <c r="E38" s="29" t="s">
        <v>314</v>
      </c>
      <c r="F38" s="29" t="s">
        <v>184</v>
      </c>
      <c r="G38" s="30">
        <v>46143</v>
      </c>
      <c r="H38" s="29" t="s">
        <v>315</v>
      </c>
      <c r="I38" s="29">
        <v>944199990</v>
      </c>
      <c r="J38" s="29" t="s">
        <v>292</v>
      </c>
      <c r="K38" s="29" t="s">
        <v>293</v>
      </c>
      <c r="L38" s="29" t="s">
        <v>148</v>
      </c>
      <c r="M38" s="29" t="s">
        <v>316</v>
      </c>
      <c r="N38" s="29" t="s">
        <v>849</v>
      </c>
      <c r="O38" s="29" t="s">
        <v>317</v>
      </c>
      <c r="P38" s="31">
        <f>IFERROR(IF(Ejecutivos.[[#This Row],[Categoria]]="Supervisor",VLOOKUP(Ejecutivos.[[#This Row],[Ejecutivo]],Fórmulas!$C$59:$E$63,2,0),VLOOKUP(Ejecutivos.[[#This Row],[Categoria]],Fórmulas!$C$52:$F$54,2,0)),0)</f>
        <v>2</v>
      </c>
      <c r="Q38" s="31">
        <f>IFERROR(IF(Ejecutivos.[[#This Row],[Categoria]]="Supervisor",VLOOKUP(Ejecutivos.[[#This Row],[Ejecutivo]],Fórmulas!$C$59:$E$63,3,0),VLOOKUP(Ejecutivos.[[#This Row],[Categoria]],Fórmulas!$C$52:$F$54,3,0)),0)</f>
        <v>100000</v>
      </c>
      <c r="R38" s="27" t="str">
        <f>Ejecutivos.[[#This Row],[DNI]]</f>
        <v>74961151</v>
      </c>
      <c r="S38" s="27" t="str">
        <f>Ejecutivos.[[#This Row],[Ejecutivo]]</f>
        <v>Manuel Avalos</v>
      </c>
    </row>
    <row r="39" spans="1:19" ht="14.25" customHeight="1">
      <c r="A39" s="27" t="s">
        <v>318</v>
      </c>
      <c r="B39" s="28" t="s">
        <v>319</v>
      </c>
      <c r="C39" s="29" t="s">
        <v>42</v>
      </c>
      <c r="D39" s="29" t="s">
        <v>154</v>
      </c>
      <c r="E39" s="29" t="s">
        <v>320</v>
      </c>
      <c r="F39" s="29" t="s">
        <v>184</v>
      </c>
      <c r="G39" s="30">
        <v>46143</v>
      </c>
      <c r="H39" s="29" t="s">
        <v>321</v>
      </c>
      <c r="I39" s="29">
        <v>950508800</v>
      </c>
      <c r="J39" s="29" t="s">
        <v>322</v>
      </c>
      <c r="K39" s="29" t="s">
        <v>293</v>
      </c>
      <c r="L39" s="29" t="s">
        <v>148</v>
      </c>
      <c r="M39" s="29" t="s">
        <v>323</v>
      </c>
      <c r="N39" s="29" t="s">
        <v>850</v>
      </c>
      <c r="O39" s="29" t="s">
        <v>324</v>
      </c>
      <c r="P39" s="31">
        <f>IFERROR(IF(Ejecutivos.[[#This Row],[Categoria]]="Supervisor",VLOOKUP(Ejecutivos.[[#This Row],[Ejecutivo]],Fórmulas!$C$59:$E$63,2,0),VLOOKUP(Ejecutivos.[[#This Row],[Categoria]],Fórmulas!$C$52:$F$54,2,0)),0)</f>
        <v>2</v>
      </c>
      <c r="Q39" s="31">
        <f>IFERROR(IF(Ejecutivos.[[#This Row],[Categoria]]="Supervisor",VLOOKUP(Ejecutivos.[[#This Row],[Ejecutivo]],Fórmulas!$C$59:$E$63,3,0),VLOOKUP(Ejecutivos.[[#This Row],[Categoria]],Fórmulas!$C$52:$F$54,3,0)),0)</f>
        <v>100000</v>
      </c>
      <c r="R39" s="27" t="str">
        <f>Ejecutivos.[[#This Row],[DNI]]</f>
        <v>75167462</v>
      </c>
      <c r="S39" s="27" t="str">
        <f>Ejecutivos.[[#This Row],[Ejecutivo]]</f>
        <v>Milagros Zuniga</v>
      </c>
    </row>
    <row r="40" spans="1:19" ht="14.25" customHeight="1">
      <c r="A40" s="32" t="s">
        <v>325</v>
      </c>
      <c r="B40" s="33" t="s">
        <v>326</v>
      </c>
      <c r="C40" s="34" t="s">
        <v>42</v>
      </c>
      <c r="D40" s="34" t="s">
        <v>154</v>
      </c>
      <c r="E40" s="34" t="s">
        <v>327</v>
      </c>
      <c r="F40" s="34" t="s">
        <v>184</v>
      </c>
      <c r="G40" s="35">
        <v>46143</v>
      </c>
      <c r="H40" s="34" t="s">
        <v>328</v>
      </c>
      <c r="I40" s="34">
        <v>967238595</v>
      </c>
      <c r="J40" s="29" t="s">
        <v>292</v>
      </c>
      <c r="K40" s="29" t="s">
        <v>293</v>
      </c>
      <c r="L40" s="29" t="s">
        <v>148</v>
      </c>
      <c r="M40" s="34" t="s">
        <v>329</v>
      </c>
      <c r="N40" s="34" t="s">
        <v>851</v>
      </c>
      <c r="O40" s="34" t="s">
        <v>330</v>
      </c>
      <c r="P40" s="36">
        <f>IFERROR(IF(Ejecutivos.[[#This Row],[Categoria]]="Supervisor",VLOOKUP(Ejecutivos.[[#This Row],[Ejecutivo]],Fórmulas!$C$59:$E$63,2,0),VLOOKUP(Ejecutivos.[[#This Row],[Categoria]],Fórmulas!$C$52:$F$54,2,0)),0)</f>
        <v>2</v>
      </c>
      <c r="Q40" s="36">
        <f>IFERROR(IF(Ejecutivos.[[#This Row],[Categoria]]="Supervisor",VLOOKUP(Ejecutivos.[[#This Row],[Ejecutivo]],Fórmulas!$C$59:$E$63,3,0),VLOOKUP(Ejecutivos.[[#This Row],[Categoria]],Fórmulas!$C$52:$F$54,3,0)),0)</f>
        <v>100000</v>
      </c>
      <c r="R40" s="32" t="str">
        <f>Ejecutivos.[[#This Row],[DNI]]</f>
        <v>70800152</v>
      </c>
      <c r="S40" s="32" t="str">
        <f>Ejecutivos.[[#This Row],[Ejecutivo]]</f>
        <v>Nelson Deza</v>
      </c>
    </row>
    <row r="41" spans="1:19" ht="14.25" customHeight="1">
      <c r="A41" s="32" t="s">
        <v>331</v>
      </c>
      <c r="B41" s="33" t="s">
        <v>332</v>
      </c>
      <c r="C41" s="34" t="s">
        <v>926</v>
      </c>
      <c r="D41" s="34" t="s">
        <v>154</v>
      </c>
      <c r="E41" s="34" t="s">
        <v>333</v>
      </c>
      <c r="F41" s="34" t="s">
        <v>184</v>
      </c>
      <c r="G41" s="35">
        <v>46143</v>
      </c>
      <c r="H41" s="34" t="s">
        <v>334</v>
      </c>
      <c r="I41" s="34">
        <v>951435167</v>
      </c>
      <c r="J41" s="34" t="s">
        <v>122</v>
      </c>
      <c r="K41" s="34" t="s">
        <v>335</v>
      </c>
      <c r="L41" s="34" t="s">
        <v>148</v>
      </c>
      <c r="M41" s="34" t="s">
        <v>336</v>
      </c>
      <c r="N41" s="34" t="s">
        <v>852</v>
      </c>
      <c r="O41" s="34" t="s">
        <v>337</v>
      </c>
      <c r="P41" s="36">
        <f>IFERROR(IF(Ejecutivos.[[#This Row],[Categoria]]="Supervisor",VLOOKUP(Ejecutivos.[[#This Row],[Ejecutivo]],Fórmulas!$C$59:$E$63,2,0),VLOOKUP(Ejecutivos.[[#This Row],[Categoria]],Fórmulas!$C$52:$F$54,2,0)),0)</f>
        <v>2</v>
      </c>
      <c r="Q41" s="36">
        <f>IFERROR(IF(Ejecutivos.[[#This Row],[Categoria]]="Supervisor",VLOOKUP(Ejecutivos.[[#This Row],[Ejecutivo]],Fórmulas!$C$59:$E$63,3,0),VLOOKUP(Ejecutivos.[[#This Row],[Categoria]],Fórmulas!$C$52:$F$54,3,0)),0)</f>
        <v>100000</v>
      </c>
      <c r="R41" s="32" t="str">
        <f>Ejecutivos.[[#This Row],[DNI]]</f>
        <v>46174504</v>
      </c>
      <c r="S41" s="32" t="str">
        <f>Ejecutivos.[[#This Row],[Ejecutivo]]</f>
        <v>Francis Portuguez</v>
      </c>
    </row>
    <row r="42" spans="1:19" ht="14.25" customHeight="1">
      <c r="A42" s="32" t="s">
        <v>338</v>
      </c>
      <c r="B42" s="33" t="s">
        <v>339</v>
      </c>
      <c r="C42" s="34" t="s">
        <v>926</v>
      </c>
      <c r="D42" s="34" t="s">
        <v>154</v>
      </c>
      <c r="E42" s="34" t="s">
        <v>340</v>
      </c>
      <c r="F42" s="34" t="s">
        <v>184</v>
      </c>
      <c r="G42" s="35">
        <v>46143</v>
      </c>
      <c r="H42" s="34" t="s">
        <v>341</v>
      </c>
      <c r="I42" s="34">
        <v>914528647</v>
      </c>
      <c r="J42" s="34" t="s">
        <v>122</v>
      </c>
      <c r="K42" s="34" t="s">
        <v>335</v>
      </c>
      <c r="L42" s="34" t="s">
        <v>148</v>
      </c>
      <c r="M42" s="34" t="s">
        <v>342</v>
      </c>
      <c r="N42" s="34" t="s">
        <v>853</v>
      </c>
      <c r="O42" s="34" t="s">
        <v>343</v>
      </c>
      <c r="P42" s="36">
        <f>IFERROR(IF(Ejecutivos.[[#This Row],[Categoria]]="Supervisor",VLOOKUP(Ejecutivos.[[#This Row],[Ejecutivo]],Fórmulas!$C$59:$E$63,2,0),VLOOKUP(Ejecutivos.[[#This Row],[Categoria]],Fórmulas!$C$52:$F$54,2,0)),0)</f>
        <v>2</v>
      </c>
      <c r="Q42" s="36">
        <f>IFERROR(IF(Ejecutivos.[[#This Row],[Categoria]]="Supervisor",VLOOKUP(Ejecutivos.[[#This Row],[Ejecutivo]],Fórmulas!$C$59:$E$63,3,0),VLOOKUP(Ejecutivos.[[#This Row],[Categoria]],Fórmulas!$C$52:$F$54,3,0)),0)</f>
        <v>100000</v>
      </c>
      <c r="R42" s="32" t="str">
        <f>Ejecutivos.[[#This Row],[DNI]]</f>
        <v>80238587</v>
      </c>
      <c r="S42" s="32" t="str">
        <f>Ejecutivos.[[#This Row],[Ejecutivo]]</f>
        <v>Gloria Pallardelly</v>
      </c>
    </row>
    <row r="43" spans="1:19" ht="14.25" customHeight="1">
      <c r="A43" s="32" t="s">
        <v>344</v>
      </c>
      <c r="B43" s="33" t="s">
        <v>345</v>
      </c>
      <c r="C43" s="34" t="s">
        <v>926</v>
      </c>
      <c r="D43" s="34" t="s">
        <v>154</v>
      </c>
      <c r="E43" s="34" t="s">
        <v>346</v>
      </c>
      <c r="F43" s="34" t="s">
        <v>184</v>
      </c>
      <c r="G43" s="35">
        <v>46143</v>
      </c>
      <c r="H43" s="34" t="s">
        <v>347</v>
      </c>
      <c r="I43" s="34">
        <v>914532878</v>
      </c>
      <c r="J43" s="34" t="s">
        <v>122</v>
      </c>
      <c r="K43" s="34" t="s">
        <v>335</v>
      </c>
      <c r="L43" s="34" t="s">
        <v>148</v>
      </c>
      <c r="M43" s="34" t="s">
        <v>348</v>
      </c>
      <c r="N43" s="34" t="s">
        <v>854</v>
      </c>
      <c r="O43" s="34" t="s">
        <v>349</v>
      </c>
      <c r="P43" s="36">
        <f>IFERROR(IF(Ejecutivos.[[#This Row],[Categoria]]="Supervisor",VLOOKUP(Ejecutivos.[[#This Row],[Ejecutivo]],Fórmulas!$C$59:$E$63,2,0),VLOOKUP(Ejecutivos.[[#This Row],[Categoria]],Fórmulas!$C$52:$F$54,2,0)),0)</f>
        <v>2</v>
      </c>
      <c r="Q43" s="36">
        <f>IFERROR(IF(Ejecutivos.[[#This Row],[Categoria]]="Supervisor",VLOOKUP(Ejecutivos.[[#This Row],[Ejecutivo]],Fórmulas!$C$59:$E$63,3,0),VLOOKUP(Ejecutivos.[[#This Row],[Categoria]],Fórmulas!$C$52:$F$54,3,0)),0)</f>
        <v>100000</v>
      </c>
      <c r="R43" s="32" t="str">
        <f>Ejecutivos.[[#This Row],[DNI]]</f>
        <v>45983791</v>
      </c>
      <c r="S43" s="32" t="str">
        <f>Ejecutivos.[[#This Row],[Ejecutivo]]</f>
        <v>Luis Hurtado</v>
      </c>
    </row>
    <row r="44" spans="1:19" ht="14.25" customHeight="1">
      <c r="A44" s="27" t="s">
        <v>350</v>
      </c>
      <c r="B44" s="28" t="s">
        <v>351</v>
      </c>
      <c r="C44" s="34" t="s">
        <v>926</v>
      </c>
      <c r="D44" s="34" t="s">
        <v>154</v>
      </c>
      <c r="E44" s="29" t="s">
        <v>352</v>
      </c>
      <c r="F44" s="29" t="s">
        <v>184</v>
      </c>
      <c r="G44" s="30">
        <v>46143</v>
      </c>
      <c r="H44" s="29" t="s">
        <v>353</v>
      </c>
      <c r="I44" s="29">
        <v>914506187</v>
      </c>
      <c r="J44" s="29" t="s">
        <v>122</v>
      </c>
      <c r="K44" s="34" t="s">
        <v>335</v>
      </c>
      <c r="L44" s="34" t="s">
        <v>148</v>
      </c>
      <c r="M44" s="29" t="s">
        <v>354</v>
      </c>
      <c r="N44" s="29" t="s">
        <v>855</v>
      </c>
      <c r="O44" s="29" t="s">
        <v>355</v>
      </c>
      <c r="P44" s="31">
        <f>IFERROR(IF(Ejecutivos.[[#This Row],[Categoria]]="Supervisor",VLOOKUP(Ejecutivos.[[#This Row],[Ejecutivo]],Fórmulas!$C$59:$E$63,2,0),VLOOKUP(Ejecutivos.[[#This Row],[Categoria]],Fórmulas!$C$52:$F$54,2,0)),0)</f>
        <v>2</v>
      </c>
      <c r="Q44" s="31">
        <f>IFERROR(IF(Ejecutivos.[[#This Row],[Categoria]]="Supervisor",VLOOKUP(Ejecutivos.[[#This Row],[Ejecutivo]],Fórmulas!$C$59:$E$63,3,0),VLOOKUP(Ejecutivos.[[#This Row],[Categoria]],Fórmulas!$C$52:$F$54,3,0)),0)</f>
        <v>100000</v>
      </c>
      <c r="R44" s="27" t="str">
        <f>Ejecutivos.[[#This Row],[DNI]]</f>
        <v>80229574</v>
      </c>
      <c r="S44" s="27" t="str">
        <f>Ejecutivos.[[#This Row],[Ejecutivo]]</f>
        <v>Maria Pallardelly</v>
      </c>
    </row>
    <row r="45" spans="1:19" ht="14.25" customHeight="1">
      <c r="A45" s="32" t="s">
        <v>356</v>
      </c>
      <c r="B45" s="33" t="s">
        <v>357</v>
      </c>
      <c r="C45" s="34" t="s">
        <v>926</v>
      </c>
      <c r="D45" s="34" t="s">
        <v>154</v>
      </c>
      <c r="E45" s="34" t="s">
        <v>358</v>
      </c>
      <c r="F45" s="34" t="s">
        <v>184</v>
      </c>
      <c r="G45" s="35">
        <v>46143</v>
      </c>
      <c r="H45" s="34" t="s">
        <v>359</v>
      </c>
      <c r="I45" s="34">
        <v>914562666</v>
      </c>
      <c r="J45" s="34" t="s">
        <v>122</v>
      </c>
      <c r="K45" s="34" t="s">
        <v>335</v>
      </c>
      <c r="L45" s="34" t="s">
        <v>148</v>
      </c>
      <c r="M45" s="34" t="s">
        <v>360</v>
      </c>
      <c r="N45" s="34" t="s">
        <v>856</v>
      </c>
      <c r="O45" s="34" t="s">
        <v>361</v>
      </c>
      <c r="P45" s="36">
        <f>IFERROR(IF(Ejecutivos.[[#This Row],[Categoria]]="Supervisor",VLOOKUP(Ejecutivos.[[#This Row],[Ejecutivo]],Fórmulas!$C$59:$E$63,2,0),VLOOKUP(Ejecutivos.[[#This Row],[Categoria]],Fórmulas!$C$52:$F$54,2,0)),0)</f>
        <v>2</v>
      </c>
      <c r="Q45" s="36">
        <f>IFERROR(IF(Ejecutivos.[[#This Row],[Categoria]]="Supervisor",VLOOKUP(Ejecutivos.[[#This Row],[Ejecutivo]],Fórmulas!$C$59:$E$63,3,0),VLOOKUP(Ejecutivos.[[#This Row],[Categoria]],Fórmulas!$C$52:$F$54,3,0)),0)</f>
        <v>100000</v>
      </c>
      <c r="R45" s="32" t="str">
        <f>Ejecutivos.[[#This Row],[DNI]]</f>
        <v>71311532</v>
      </c>
      <c r="S45" s="32" t="str">
        <f>Ejecutivos.[[#This Row],[Ejecutivo]]</f>
        <v>Roberto Ayllon</v>
      </c>
    </row>
  </sheetData>
  <conditionalFormatting sqref="A2:A45">
    <cfRule type="duplicateValues" dxfId="304" priority="180"/>
  </conditionalFormatting>
  <conditionalFormatting sqref="B2:B45">
    <cfRule type="duplicateValues" dxfId="303" priority="182"/>
  </conditionalFormatting>
  <conditionalFormatting sqref="E2:E45">
    <cfRule type="duplicateValues" dxfId="302" priority="184"/>
  </conditionalFormatting>
  <conditionalFormatting sqref="H2:I45">
    <cfRule type="duplicateValues" dxfId="301" priority="186"/>
  </conditionalFormatting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5173C-2526-4732-BD76-51BC3BF0D519}">
  <sheetPr codeName="Hoja10"/>
  <dimension ref="A1:Z90"/>
  <sheetViews>
    <sheetView showGridLines="0" zoomScale="85" zoomScaleNormal="85" workbookViewId="0">
      <selection activeCell="L13" sqref="L13"/>
    </sheetView>
  </sheetViews>
  <sheetFormatPr baseColWidth="10" defaultColWidth="13.7109375" defaultRowHeight="14.25" customHeight="1" outlineLevelCol="1"/>
  <cols>
    <col min="1" max="1" width="13.7109375" style="62" customWidth="1" outlineLevel="1"/>
    <col min="2" max="2" width="17" style="62" bestFit="1" customWidth="1" outlineLevel="1"/>
    <col min="3" max="3" width="6.42578125" style="62" bestFit="1" customWidth="1" outlineLevel="1"/>
    <col min="4" max="4" width="6.28515625" style="62" bestFit="1" customWidth="1" outlineLevel="1"/>
    <col min="5" max="5" width="8.85546875" style="62" bestFit="1" customWidth="1" outlineLevel="1"/>
    <col min="6" max="6" width="10.140625" style="62" bestFit="1" customWidth="1" outlineLevel="1"/>
    <col min="7" max="7" width="8.42578125" style="62" bestFit="1" customWidth="1" outlineLevel="1"/>
    <col min="8" max="9" width="7" style="62" bestFit="1" customWidth="1" outlineLevel="1"/>
    <col min="10" max="10" width="11.7109375" style="62" customWidth="1" outlineLevel="1"/>
    <col min="11" max="11" width="13.7109375" style="62" outlineLevel="1"/>
    <col min="12" max="14" width="13.7109375" style="62"/>
    <col min="15" max="15" width="13.7109375" style="62" customWidth="1" outlineLevel="1"/>
    <col min="16" max="16" width="18.5703125" style="62" customWidth="1" outlineLevel="1"/>
    <col min="17" max="17" width="6.42578125" style="62" bestFit="1" customWidth="1" outlineLevel="1"/>
    <col min="18" max="18" width="6.28515625" style="62" bestFit="1" customWidth="1" outlineLevel="1"/>
    <col min="19" max="19" width="8.85546875" style="62" bestFit="1" customWidth="1" outlineLevel="1"/>
    <col min="20" max="20" width="10.140625" style="62" bestFit="1" customWidth="1" outlineLevel="1"/>
    <col min="21" max="21" width="8.42578125" style="62" bestFit="1" customWidth="1" outlineLevel="1"/>
    <col min="22" max="23" width="7" style="62" bestFit="1" customWidth="1" outlineLevel="1"/>
    <col min="24" max="24" width="8.42578125" style="62" bestFit="1" customWidth="1" outlineLevel="1"/>
    <col min="25" max="25" width="13.7109375" style="62" outlineLevel="1"/>
    <col min="26" max="26" width="18.5703125" style="62" bestFit="1" customWidth="1"/>
    <col min="27" max="16384" width="13.7109375" style="62"/>
  </cols>
  <sheetData>
    <row r="1" spans="1:25" ht="14.25" customHeight="1">
      <c r="A1" s="61" t="s">
        <v>1</v>
      </c>
      <c r="B1" s="61" t="s">
        <v>21</v>
      </c>
      <c r="C1" s="62" t="s">
        <v>567</v>
      </c>
      <c r="D1" s="62" t="s">
        <v>568</v>
      </c>
      <c r="E1" s="62" t="s">
        <v>1139</v>
      </c>
      <c r="F1" s="62" t="s">
        <v>724</v>
      </c>
      <c r="G1" s="62" t="s">
        <v>723</v>
      </c>
      <c r="H1" s="62" t="s">
        <v>965</v>
      </c>
      <c r="I1" s="62" t="s">
        <v>968</v>
      </c>
      <c r="J1"/>
      <c r="O1" s="61" t="s">
        <v>1</v>
      </c>
      <c r="P1" s="61" t="s">
        <v>16</v>
      </c>
      <c r="Q1" s="62" t="s">
        <v>567</v>
      </c>
      <c r="R1" s="62" t="s">
        <v>568</v>
      </c>
      <c r="S1" s="62" t="s">
        <v>1139</v>
      </c>
      <c r="T1" s="62" t="s">
        <v>724</v>
      </c>
      <c r="U1" s="62" t="s">
        <v>723</v>
      </c>
      <c r="V1" s="62" t="s">
        <v>965</v>
      </c>
      <c r="W1" s="62" t="s">
        <v>968</v>
      </c>
      <c r="X1"/>
      <c r="Y1"/>
    </row>
    <row r="2" spans="1:25" ht="14.25" customHeight="1">
      <c r="A2" s="57">
        <v>46143</v>
      </c>
      <c r="B2" s="62" t="s">
        <v>35</v>
      </c>
      <c r="C2" s="63">
        <v>8</v>
      </c>
      <c r="D2" s="63">
        <v>11</v>
      </c>
      <c r="E2" s="63">
        <v>3</v>
      </c>
      <c r="F2" s="64">
        <v>146807.28000000003</v>
      </c>
      <c r="G2" s="64">
        <v>188978.57</v>
      </c>
      <c r="H2" s="64">
        <v>0</v>
      </c>
      <c r="I2" s="64">
        <v>0</v>
      </c>
      <c r="J2"/>
      <c r="O2" s="57">
        <v>46143</v>
      </c>
      <c r="P2" s="62" t="s">
        <v>97</v>
      </c>
      <c r="Q2" s="63">
        <v>1</v>
      </c>
      <c r="R2" s="63">
        <v>1</v>
      </c>
      <c r="S2" s="63">
        <v>0</v>
      </c>
      <c r="T2" s="64">
        <v>12267.08</v>
      </c>
      <c r="U2" s="64">
        <v>250</v>
      </c>
      <c r="V2" s="64">
        <v>0</v>
      </c>
      <c r="W2" s="64">
        <v>0</v>
      </c>
      <c r="X2"/>
      <c r="Y2"/>
    </row>
    <row r="3" spans="1:25" ht="14.25" customHeight="1">
      <c r="A3" s="57">
        <v>46143</v>
      </c>
      <c r="B3" s="62" t="s">
        <v>48</v>
      </c>
      <c r="C3" s="63">
        <v>3</v>
      </c>
      <c r="D3" s="63">
        <v>4</v>
      </c>
      <c r="E3" s="63">
        <v>1</v>
      </c>
      <c r="F3" s="64">
        <v>3350</v>
      </c>
      <c r="G3" s="64">
        <v>28268.400000000001</v>
      </c>
      <c r="H3" s="64">
        <v>0</v>
      </c>
      <c r="I3" s="64">
        <v>0</v>
      </c>
      <c r="J3"/>
      <c r="O3" s="57">
        <v>46143</v>
      </c>
      <c r="P3" s="62" t="s">
        <v>218</v>
      </c>
      <c r="Q3" s="63">
        <v>1</v>
      </c>
      <c r="R3" s="63">
        <v>5</v>
      </c>
      <c r="S3" s="63">
        <v>1</v>
      </c>
      <c r="T3" s="64">
        <v>3720</v>
      </c>
      <c r="U3" s="64">
        <v>19102.75</v>
      </c>
      <c r="V3" s="64">
        <v>0</v>
      </c>
      <c r="W3" s="64">
        <v>0</v>
      </c>
      <c r="X3"/>
      <c r="Y3"/>
    </row>
    <row r="4" spans="1:25" ht="14.25" customHeight="1">
      <c r="A4" s="57">
        <v>46143</v>
      </c>
      <c r="B4" s="62" t="s">
        <v>64</v>
      </c>
      <c r="C4" s="63">
        <v>7</v>
      </c>
      <c r="D4" s="63">
        <v>14</v>
      </c>
      <c r="E4" s="63">
        <v>3.0000000000000009</v>
      </c>
      <c r="F4" s="64">
        <v>55185.079999999994</v>
      </c>
      <c r="G4" s="64">
        <v>140704.82</v>
      </c>
      <c r="H4" s="64">
        <v>0</v>
      </c>
      <c r="I4" s="64">
        <v>0</v>
      </c>
      <c r="J4"/>
      <c r="O4" s="57">
        <v>46143</v>
      </c>
      <c r="P4" s="62" t="s">
        <v>52</v>
      </c>
      <c r="Q4" s="63">
        <v>1</v>
      </c>
      <c r="R4" s="63">
        <v>6</v>
      </c>
      <c r="S4" s="63">
        <v>0.99999999999999989</v>
      </c>
      <c r="T4" s="64">
        <v>18735.099999999999</v>
      </c>
      <c r="U4" s="64">
        <v>29023.300000000003</v>
      </c>
      <c r="V4" s="64">
        <v>0</v>
      </c>
      <c r="W4" s="64">
        <v>0</v>
      </c>
      <c r="X4"/>
      <c r="Y4"/>
    </row>
    <row r="5" spans="1:25" ht="14.25" customHeight="1">
      <c r="A5" s="57">
        <v>46143</v>
      </c>
      <c r="B5" s="62" t="s">
        <v>98</v>
      </c>
      <c r="C5" s="63">
        <v>6</v>
      </c>
      <c r="D5" s="63">
        <v>6</v>
      </c>
      <c r="E5" s="63">
        <v>0</v>
      </c>
      <c r="F5" s="64">
        <v>20589.38</v>
      </c>
      <c r="G5" s="64">
        <v>10317.933333333334</v>
      </c>
      <c r="H5" s="64">
        <v>0</v>
      </c>
      <c r="I5" s="64">
        <v>0</v>
      </c>
      <c r="J5"/>
      <c r="O5" s="57">
        <v>46143</v>
      </c>
      <c r="P5" s="62" t="s">
        <v>253</v>
      </c>
      <c r="Q5" s="63">
        <v>1</v>
      </c>
      <c r="R5" s="63">
        <v>1</v>
      </c>
      <c r="S5" s="63">
        <v>0</v>
      </c>
      <c r="T5" s="64">
        <v>151</v>
      </c>
      <c r="U5" s="64">
        <v>4585</v>
      </c>
      <c r="V5" s="64">
        <v>0</v>
      </c>
      <c r="W5" s="64">
        <v>0</v>
      </c>
      <c r="X5"/>
      <c r="Y5"/>
    </row>
    <row r="6" spans="1:25" ht="14.25" customHeight="1">
      <c r="A6" s="57">
        <v>46143</v>
      </c>
      <c r="B6" s="62" t="s">
        <v>42</v>
      </c>
      <c r="C6" s="63">
        <v>3</v>
      </c>
      <c r="D6" s="63">
        <v>9</v>
      </c>
      <c r="E6" s="63">
        <v>3.0000000000000004</v>
      </c>
      <c r="F6" s="64">
        <v>69035.8</v>
      </c>
      <c r="G6" s="64">
        <v>77594.5</v>
      </c>
      <c r="H6" s="64">
        <v>0</v>
      </c>
      <c r="I6" s="64">
        <v>0</v>
      </c>
      <c r="J6"/>
      <c r="O6" s="57">
        <v>46143</v>
      </c>
      <c r="P6" s="62" t="s">
        <v>258</v>
      </c>
      <c r="Q6" s="63">
        <v>1</v>
      </c>
      <c r="R6" s="63">
        <v>1</v>
      </c>
      <c r="S6" s="63">
        <v>0</v>
      </c>
      <c r="T6" s="64">
        <v>7885</v>
      </c>
      <c r="U6" s="64">
        <v>800</v>
      </c>
      <c r="V6" s="64">
        <v>0</v>
      </c>
      <c r="W6" s="64">
        <v>0</v>
      </c>
      <c r="X6"/>
      <c r="Y6"/>
    </row>
    <row r="7" spans="1:25" ht="14.25" customHeight="1">
      <c r="A7" s="57">
        <v>46174</v>
      </c>
      <c r="B7" s="62" t="s">
        <v>35</v>
      </c>
      <c r="C7" s="63">
        <v>11</v>
      </c>
      <c r="D7" s="63">
        <v>18</v>
      </c>
      <c r="E7" s="63">
        <v>3</v>
      </c>
      <c r="F7" s="64">
        <v>241121.85</v>
      </c>
      <c r="G7" s="64">
        <v>0</v>
      </c>
      <c r="H7" s="64">
        <v>0</v>
      </c>
      <c r="I7" s="64">
        <v>0</v>
      </c>
      <c r="J7"/>
      <c r="O7" s="57">
        <v>46143</v>
      </c>
      <c r="P7" s="62" t="s">
        <v>74</v>
      </c>
      <c r="Q7" s="63">
        <v>1</v>
      </c>
      <c r="R7" s="63">
        <v>2</v>
      </c>
      <c r="S7" s="63">
        <v>1</v>
      </c>
      <c r="T7" s="64">
        <v>35910.5</v>
      </c>
      <c r="U7" s="64">
        <v>27051</v>
      </c>
      <c r="V7" s="64">
        <v>0</v>
      </c>
      <c r="W7" s="64">
        <v>0</v>
      </c>
      <c r="X7"/>
      <c r="Y7"/>
    </row>
    <row r="8" spans="1:25" ht="14.25" customHeight="1">
      <c r="A8" s="57">
        <v>46174</v>
      </c>
      <c r="B8" s="62" t="s">
        <v>48</v>
      </c>
      <c r="C8" s="63">
        <v>8</v>
      </c>
      <c r="D8" s="63">
        <v>17</v>
      </c>
      <c r="E8" s="63">
        <v>0.99999999999999989</v>
      </c>
      <c r="F8" s="64">
        <v>385855.56999999995</v>
      </c>
      <c r="G8" s="64">
        <v>0</v>
      </c>
      <c r="H8" s="64">
        <v>0</v>
      </c>
      <c r="I8" s="64">
        <v>0</v>
      </c>
      <c r="J8"/>
      <c r="O8" s="57">
        <v>46143</v>
      </c>
      <c r="P8" s="62" t="s">
        <v>151</v>
      </c>
      <c r="Q8" s="63">
        <v>1</v>
      </c>
      <c r="R8" s="63">
        <v>1</v>
      </c>
      <c r="S8" s="63">
        <v>0</v>
      </c>
      <c r="T8" s="64">
        <v>0</v>
      </c>
      <c r="U8" s="64">
        <v>0</v>
      </c>
      <c r="V8" s="64">
        <v>0</v>
      </c>
      <c r="W8" s="64">
        <v>0</v>
      </c>
      <c r="X8"/>
      <c r="Y8"/>
    </row>
    <row r="9" spans="1:25" ht="14.25" customHeight="1">
      <c r="A9" s="57">
        <v>46174</v>
      </c>
      <c r="B9" s="62" t="s">
        <v>64</v>
      </c>
      <c r="C9" s="63">
        <v>6</v>
      </c>
      <c r="D9" s="63">
        <v>19</v>
      </c>
      <c r="E9" s="63">
        <v>2</v>
      </c>
      <c r="F9" s="64">
        <v>72911.049999999988</v>
      </c>
      <c r="G9" s="64">
        <v>0</v>
      </c>
      <c r="H9" s="64">
        <v>0</v>
      </c>
      <c r="I9" s="64">
        <v>0</v>
      </c>
      <c r="J9"/>
      <c r="O9" s="57">
        <v>46143</v>
      </c>
      <c r="P9" s="62" t="s">
        <v>86</v>
      </c>
      <c r="Q9" s="63">
        <v>2</v>
      </c>
      <c r="R9" s="63">
        <v>3</v>
      </c>
      <c r="S9" s="63">
        <v>1</v>
      </c>
      <c r="T9" s="64">
        <v>15068.579999999998</v>
      </c>
      <c r="U9" s="64">
        <v>91978.07</v>
      </c>
      <c r="V9" s="64">
        <v>0</v>
      </c>
      <c r="W9" s="64">
        <v>0</v>
      </c>
      <c r="X9"/>
      <c r="Y9"/>
    </row>
    <row r="10" spans="1:25" ht="14.25" customHeight="1">
      <c r="A10" s="57">
        <v>46174</v>
      </c>
      <c r="B10" s="62" t="s">
        <v>98</v>
      </c>
      <c r="C10" s="63">
        <v>10</v>
      </c>
      <c r="D10" s="63">
        <v>22</v>
      </c>
      <c r="E10" s="63">
        <v>1.9999999999999998</v>
      </c>
      <c r="F10" s="64">
        <v>35027.699999999997</v>
      </c>
      <c r="G10" s="64">
        <v>0</v>
      </c>
      <c r="H10" s="64">
        <v>0</v>
      </c>
      <c r="I10" s="64">
        <v>0</v>
      </c>
      <c r="J10"/>
      <c r="O10" s="57">
        <v>46143</v>
      </c>
      <c r="P10" s="62" t="s">
        <v>47</v>
      </c>
      <c r="Q10" s="63">
        <v>3</v>
      </c>
      <c r="R10" s="63">
        <v>4</v>
      </c>
      <c r="S10" s="63">
        <v>1</v>
      </c>
      <c r="T10" s="64">
        <v>3350</v>
      </c>
      <c r="U10" s="64">
        <v>28268.400000000001</v>
      </c>
      <c r="V10" s="64">
        <v>0</v>
      </c>
      <c r="W10" s="64">
        <v>0</v>
      </c>
      <c r="X10"/>
      <c r="Y10"/>
    </row>
    <row r="11" spans="1:25" ht="14.25" customHeight="1">
      <c r="A11" s="57">
        <v>46174</v>
      </c>
      <c r="B11" s="62" t="s">
        <v>42</v>
      </c>
      <c r="C11" s="63">
        <v>10</v>
      </c>
      <c r="D11" s="63">
        <v>23</v>
      </c>
      <c r="E11" s="63">
        <v>1</v>
      </c>
      <c r="F11" s="64">
        <v>56532.11</v>
      </c>
      <c r="G11" s="64">
        <v>0</v>
      </c>
      <c r="H11" s="64">
        <v>0</v>
      </c>
      <c r="I11" s="64">
        <v>0</v>
      </c>
      <c r="J11"/>
      <c r="O11" s="57">
        <v>46143</v>
      </c>
      <c r="P11" s="62" t="s">
        <v>69</v>
      </c>
      <c r="Q11" s="63">
        <v>1</v>
      </c>
      <c r="R11" s="63">
        <v>1</v>
      </c>
      <c r="S11" s="63">
        <v>0</v>
      </c>
      <c r="T11" s="64">
        <v>486</v>
      </c>
      <c r="U11" s="64">
        <v>976</v>
      </c>
      <c r="V11" s="64">
        <v>0</v>
      </c>
      <c r="W11" s="64">
        <v>0</v>
      </c>
      <c r="X11"/>
      <c r="Y11"/>
    </row>
    <row r="12" spans="1:25" ht="14.25" customHeight="1">
      <c r="A12" s="62" t="s">
        <v>566</v>
      </c>
      <c r="C12" s="63">
        <v>70</v>
      </c>
      <c r="D12" s="63">
        <v>143</v>
      </c>
      <c r="E12" s="63">
        <v>19</v>
      </c>
      <c r="F12" s="64">
        <v>1086415.8199999998</v>
      </c>
      <c r="G12" s="64">
        <v>445864.22333333327</v>
      </c>
      <c r="H12" s="64">
        <v>0</v>
      </c>
      <c r="I12" s="64">
        <v>0</v>
      </c>
      <c r="J12"/>
      <c r="O12" s="57">
        <v>46143</v>
      </c>
      <c r="P12" s="62" t="s">
        <v>159</v>
      </c>
      <c r="Q12" s="63">
        <v>1</v>
      </c>
      <c r="R12" s="63">
        <v>2</v>
      </c>
      <c r="S12" s="63">
        <v>1</v>
      </c>
      <c r="T12" s="64">
        <v>16</v>
      </c>
      <c r="U12" s="64">
        <v>16433.87</v>
      </c>
      <c r="V12" s="64">
        <v>0</v>
      </c>
      <c r="W12" s="64">
        <v>0</v>
      </c>
      <c r="X12"/>
      <c r="Y12"/>
    </row>
    <row r="13" spans="1:25" ht="14.25" customHeight="1">
      <c r="O13" s="57">
        <v>46143</v>
      </c>
      <c r="P13" s="62" t="s">
        <v>41</v>
      </c>
      <c r="Q13" s="63">
        <v>1</v>
      </c>
      <c r="R13" s="63">
        <v>2</v>
      </c>
      <c r="S13" s="63">
        <v>1</v>
      </c>
      <c r="T13" s="64">
        <v>47508</v>
      </c>
      <c r="U13" s="64">
        <v>31668</v>
      </c>
      <c r="V13" s="64">
        <v>0</v>
      </c>
      <c r="W13" s="64">
        <v>0</v>
      </c>
      <c r="X13"/>
      <c r="Y13"/>
    </row>
    <row r="14" spans="1:25" ht="14.25" customHeight="1">
      <c r="O14" s="57">
        <v>46143</v>
      </c>
      <c r="P14" s="62" t="s">
        <v>265</v>
      </c>
      <c r="Q14" s="63">
        <v>1</v>
      </c>
      <c r="R14" s="63">
        <v>1</v>
      </c>
      <c r="S14" s="63">
        <v>0</v>
      </c>
      <c r="T14" s="64">
        <v>285.3</v>
      </c>
      <c r="U14" s="64">
        <v>0</v>
      </c>
      <c r="V14" s="64">
        <v>0</v>
      </c>
      <c r="W14" s="64">
        <v>0</v>
      </c>
      <c r="X14"/>
      <c r="Y14"/>
    </row>
    <row r="15" spans="1:25" ht="14.25" customHeight="1">
      <c r="O15" s="57">
        <v>46143</v>
      </c>
      <c r="P15" s="62" t="s">
        <v>103</v>
      </c>
      <c r="Q15" s="63">
        <v>1</v>
      </c>
      <c r="R15" s="63">
        <v>1</v>
      </c>
      <c r="S15" s="63">
        <v>0</v>
      </c>
      <c r="T15" s="64">
        <v>1.1000000000000001</v>
      </c>
      <c r="U15" s="64">
        <v>0</v>
      </c>
      <c r="V15" s="64">
        <v>0</v>
      </c>
      <c r="W15" s="64">
        <v>0</v>
      </c>
      <c r="X15"/>
      <c r="Y15"/>
    </row>
    <row r="16" spans="1:25" ht="14.25" customHeight="1">
      <c r="O16" s="57">
        <v>46143</v>
      </c>
      <c r="P16" s="62" t="s">
        <v>80</v>
      </c>
      <c r="Q16" s="63">
        <v>3</v>
      </c>
      <c r="R16" s="63">
        <v>5</v>
      </c>
      <c r="S16" s="63">
        <v>2</v>
      </c>
      <c r="T16" s="64">
        <v>145639.58000000002</v>
      </c>
      <c r="U16" s="64">
        <v>164529.69999999998</v>
      </c>
      <c r="V16" s="64">
        <v>0</v>
      </c>
      <c r="W16" s="64">
        <v>0</v>
      </c>
      <c r="X16"/>
      <c r="Y16"/>
    </row>
    <row r="17" spans="1:25" ht="14.25" customHeight="1">
      <c r="A17" s="58" t="s">
        <v>571</v>
      </c>
      <c r="B17" s="59" t="s">
        <v>21</v>
      </c>
      <c r="C17" s="59" t="s">
        <v>567</v>
      </c>
      <c r="D17" s="59" t="s">
        <v>568</v>
      </c>
      <c r="E17" s="59" t="s">
        <v>570</v>
      </c>
      <c r="F17" s="59" t="s">
        <v>724</v>
      </c>
      <c r="G17" s="59" t="s">
        <v>723</v>
      </c>
      <c r="H17" s="59" t="s">
        <v>965</v>
      </c>
      <c r="I17" s="59" t="s">
        <v>968</v>
      </c>
      <c r="J17" s="59" t="s">
        <v>1</v>
      </c>
      <c r="O17" s="57">
        <v>46143</v>
      </c>
      <c r="P17" s="62" t="s">
        <v>278</v>
      </c>
      <c r="Q17" s="63">
        <v>2</v>
      </c>
      <c r="R17" s="63">
        <v>2</v>
      </c>
      <c r="S17" s="63">
        <v>0</v>
      </c>
      <c r="T17" s="64">
        <v>1</v>
      </c>
      <c r="U17" s="64">
        <v>4682.9333333333343</v>
      </c>
      <c r="V17" s="64">
        <v>0</v>
      </c>
      <c r="W17" s="64">
        <v>0</v>
      </c>
      <c r="X17"/>
      <c r="Y17"/>
    </row>
    <row r="18" spans="1:25" ht="14.25" customHeight="1">
      <c r="A18" s="95">
        <v>46190</v>
      </c>
      <c r="B18" s="96" t="s">
        <v>35</v>
      </c>
      <c r="C18" s="131">
        <f>IFERROR(VLOOKUP(AvanceSupervisor[[#This Row],[Supervisor]],$B$7:$I$11,2,0),0)</f>
        <v>11</v>
      </c>
      <c r="D18" s="97">
        <f>IFERROR(VLOOKUP(AvanceSupervisor[[#This Row],[Supervisor]],$B$7:$I$11,3,0),0)</f>
        <v>18</v>
      </c>
      <c r="E18" s="97">
        <f>IFERROR(VLOOKUP(AvanceSupervisor[[#This Row],[Supervisor]],$B$7:$I$11,4,0),0)</f>
        <v>3</v>
      </c>
      <c r="F18" s="97">
        <f>IFERROR(VLOOKUP(AvanceSupervisor[[#This Row],[Supervisor]],$B$7:$I$11,5,0),0)</f>
        <v>241121.85</v>
      </c>
      <c r="G18" s="97">
        <f>IFERROR(VLOOKUP(AvanceSupervisor[[#This Row],[Supervisor]],$B$2:$I$6,6,0),0)</f>
        <v>188978.57</v>
      </c>
      <c r="H18" s="97">
        <f>IFERROR(VLOOKUP(AvanceSupervisor[[#This Row],[Supervisor]],$B$2:$I$6,7,0),0)</f>
        <v>0</v>
      </c>
      <c r="I18" s="97">
        <f>IFERROR(VLOOKUP(AvanceSupervisor[[#This Row],[Supervisor]],$B$2:$I$6,8,0),0)</f>
        <v>0</v>
      </c>
      <c r="J18" s="98">
        <f t="shared" ref="J18:J22" si="0">$A$7</f>
        <v>46174</v>
      </c>
      <c r="O18" s="57">
        <v>46143</v>
      </c>
      <c r="P18" s="62" t="s">
        <v>34</v>
      </c>
      <c r="Q18" s="63">
        <v>1</v>
      </c>
      <c r="R18" s="63">
        <v>1</v>
      </c>
      <c r="S18" s="63">
        <v>0</v>
      </c>
      <c r="T18" s="64">
        <v>1150.5999999999999</v>
      </c>
      <c r="U18" s="64">
        <v>0</v>
      </c>
      <c r="V18" s="64">
        <v>0</v>
      </c>
      <c r="W18" s="64">
        <v>0</v>
      </c>
      <c r="X18"/>
      <c r="Y18"/>
    </row>
    <row r="19" spans="1:25" ht="14.25" customHeight="1">
      <c r="A19" s="95">
        <v>46190</v>
      </c>
      <c r="B19" s="96" t="s">
        <v>48</v>
      </c>
      <c r="C19" s="131">
        <f>IFERROR(VLOOKUP(AvanceSupervisor[[#This Row],[Supervisor]],$B$7:$I$11,2,0),0)</f>
        <v>8</v>
      </c>
      <c r="D19" s="97">
        <f>IFERROR(VLOOKUP(AvanceSupervisor[[#This Row],[Supervisor]],$B$7:$I$11,3,0),0)</f>
        <v>17</v>
      </c>
      <c r="E19" s="97">
        <f>IFERROR(VLOOKUP(AvanceSupervisor[[#This Row],[Supervisor]],$B$7:$I$11,4,0),0)</f>
        <v>0.99999999999999989</v>
      </c>
      <c r="F19" s="97">
        <f>IFERROR(VLOOKUP(AvanceSupervisor[[#This Row],[Supervisor]],$B$7:$I$11,5,0),0)</f>
        <v>385855.56999999995</v>
      </c>
      <c r="G19" s="97">
        <f>IFERROR(VLOOKUP(AvanceSupervisor[[#This Row],[Supervisor]],$B$2:$I$6,6,0),0)</f>
        <v>28268.400000000001</v>
      </c>
      <c r="H19" s="97">
        <f>IFERROR(VLOOKUP(AvanceSupervisor[[#This Row],[Supervisor]],$B$2:$I$6,7,0),0)</f>
        <v>0</v>
      </c>
      <c r="I19" s="97">
        <f>IFERROR(VLOOKUP(AvanceSupervisor[[#This Row],[Supervisor]],$B$2:$I$6,8,0),0)</f>
        <v>0</v>
      </c>
      <c r="J19" s="98">
        <f t="shared" si="0"/>
        <v>46174</v>
      </c>
      <c r="O19" s="57">
        <v>46143</v>
      </c>
      <c r="P19" s="62" t="s">
        <v>319</v>
      </c>
      <c r="Q19" s="63">
        <v>1</v>
      </c>
      <c r="R19" s="63">
        <v>1</v>
      </c>
      <c r="S19" s="63">
        <v>1</v>
      </c>
      <c r="T19" s="64">
        <v>2792.7</v>
      </c>
      <c r="U19" s="64">
        <v>16903.2</v>
      </c>
      <c r="V19" s="64">
        <v>0</v>
      </c>
      <c r="W19" s="64">
        <v>0</v>
      </c>
    </row>
    <row r="20" spans="1:25" ht="14.25" customHeight="1">
      <c r="A20" s="95">
        <v>46190</v>
      </c>
      <c r="B20" s="96" t="s">
        <v>64</v>
      </c>
      <c r="C20" s="131">
        <f>IFERROR(VLOOKUP(AvanceSupervisor[[#This Row],[Supervisor]],$B$7:$I$11,2,0),0)</f>
        <v>6</v>
      </c>
      <c r="D20" s="97">
        <f>IFERROR(VLOOKUP(AvanceSupervisor[[#This Row],[Supervisor]],$B$7:$I$11,3,0),0)</f>
        <v>19</v>
      </c>
      <c r="E20" s="97">
        <f>IFERROR(VLOOKUP(AvanceSupervisor[[#This Row],[Supervisor]],$B$7:$I$11,4,0),0)</f>
        <v>2</v>
      </c>
      <c r="F20" s="97">
        <f>IFERROR(VLOOKUP(AvanceSupervisor[[#This Row],[Supervisor]],$B$7:$I$11,5,0),0)</f>
        <v>72911.049999999988</v>
      </c>
      <c r="G20" s="97">
        <f>IFERROR(VLOOKUP(AvanceSupervisor[[#This Row],[Supervisor]],$B$2:$I$6,6,0),0)</f>
        <v>140704.82</v>
      </c>
      <c r="H20" s="97">
        <f>IFERROR(VLOOKUP(AvanceSupervisor[[#This Row],[Supervisor]],$B$2:$I$6,7,0),0)</f>
        <v>0</v>
      </c>
      <c r="I20" s="97">
        <f>IFERROR(VLOOKUP(AvanceSupervisor[[#This Row],[Supervisor]],$B$2:$I$6,8,0),0)</f>
        <v>0</v>
      </c>
      <c r="J20" s="98">
        <f t="shared" si="0"/>
        <v>46174</v>
      </c>
      <c r="O20" s="57">
        <v>46143</v>
      </c>
      <c r="P20" s="62" t="s">
        <v>63</v>
      </c>
      <c r="Q20" s="63">
        <v>2</v>
      </c>
      <c r="R20" s="63">
        <v>3</v>
      </c>
      <c r="S20" s="63">
        <v>0</v>
      </c>
      <c r="T20" s="64">
        <v>0</v>
      </c>
      <c r="U20" s="64">
        <v>1597</v>
      </c>
      <c r="V20" s="64">
        <v>0</v>
      </c>
      <c r="W20" s="64">
        <v>0</v>
      </c>
    </row>
    <row r="21" spans="1:25" ht="14.25" customHeight="1">
      <c r="A21" s="95">
        <v>46190</v>
      </c>
      <c r="B21" s="96" t="s">
        <v>98</v>
      </c>
      <c r="C21" s="131">
        <f>IFERROR(VLOOKUP(AvanceSupervisor[[#This Row],[Supervisor]],$B$7:$I$11,2,0),0)</f>
        <v>10</v>
      </c>
      <c r="D21" s="97">
        <f>IFERROR(VLOOKUP(AvanceSupervisor[[#This Row],[Supervisor]],$B$7:$I$11,3,0),0)</f>
        <v>22</v>
      </c>
      <c r="E21" s="97">
        <f>IFERROR(VLOOKUP(AvanceSupervisor[[#This Row],[Supervisor]],$B$7:$I$11,4,0),0)</f>
        <v>1.9999999999999998</v>
      </c>
      <c r="F21" s="97">
        <f>IFERROR(VLOOKUP(AvanceSupervisor[[#This Row],[Supervisor]],$B$7:$I$11,5,0),0)</f>
        <v>35027.699999999997</v>
      </c>
      <c r="G21" s="97">
        <f>IFERROR(VLOOKUP(AvanceSupervisor[[#This Row],[Supervisor]],$B$2:$I$6,6,0),0)</f>
        <v>10317.933333333334</v>
      </c>
      <c r="H21" s="97">
        <f>IFERROR(VLOOKUP(AvanceSupervisor[[#This Row],[Supervisor]],$B$2:$I$6,7,0),0)</f>
        <v>0</v>
      </c>
      <c r="I21" s="97">
        <f>IFERROR(VLOOKUP(AvanceSupervisor[[#This Row],[Supervisor]],$B$2:$I$6,8,0),0)</f>
        <v>0</v>
      </c>
      <c r="J21" s="98">
        <f t="shared" si="0"/>
        <v>46174</v>
      </c>
      <c r="O21" s="57">
        <v>46143</v>
      </c>
      <c r="P21" s="62" t="s">
        <v>189</v>
      </c>
      <c r="Q21" s="63">
        <v>1</v>
      </c>
      <c r="R21" s="63">
        <v>1</v>
      </c>
      <c r="S21" s="63">
        <v>0</v>
      </c>
      <c r="T21" s="64">
        <v>0</v>
      </c>
      <c r="U21" s="64">
        <v>8015</v>
      </c>
      <c r="V21" s="64">
        <v>0</v>
      </c>
      <c r="W21" s="64">
        <v>0</v>
      </c>
    </row>
    <row r="22" spans="1:25" ht="14.25" customHeight="1">
      <c r="A22" s="95">
        <v>46190</v>
      </c>
      <c r="B22" s="99" t="s">
        <v>42</v>
      </c>
      <c r="C22" s="131">
        <f>IFERROR(VLOOKUP(AvanceSupervisor[[#This Row],[Supervisor]],$B$7:$I$11,2,0),0)</f>
        <v>10</v>
      </c>
      <c r="D22" s="97">
        <f>IFERROR(VLOOKUP(AvanceSupervisor[[#This Row],[Supervisor]],$B$7:$I$11,3,0),0)</f>
        <v>23</v>
      </c>
      <c r="E22" s="97">
        <f>IFERROR(VLOOKUP(AvanceSupervisor[[#This Row],[Supervisor]],$B$7:$I$11,4,0),0)</f>
        <v>1</v>
      </c>
      <c r="F22" s="97">
        <f>IFERROR(VLOOKUP(AvanceSupervisor[[#This Row],[Supervisor]],$B$7:$I$11,5,0),0)</f>
        <v>56532.11</v>
      </c>
      <c r="G22" s="97">
        <f>IFERROR(VLOOKUP(AvanceSupervisor[[#This Row],[Supervisor]],$B$2:$I$6,6,0),0)</f>
        <v>77594.5</v>
      </c>
      <c r="H22" s="97">
        <f>IFERROR(VLOOKUP(AvanceSupervisor[[#This Row],[Supervisor]],$B$2:$I$6,7,0),0)</f>
        <v>0</v>
      </c>
      <c r="I22" s="97">
        <f>IFERROR(VLOOKUP(AvanceSupervisor[[#This Row],[Supervisor]],$B$2:$I$6,8,0),0)</f>
        <v>0</v>
      </c>
      <c r="J22" s="98">
        <f t="shared" si="0"/>
        <v>46174</v>
      </c>
      <c r="O22" s="57">
        <v>46174</v>
      </c>
      <c r="P22" s="62" t="s">
        <v>218</v>
      </c>
      <c r="Q22" s="63">
        <v>1</v>
      </c>
      <c r="R22" s="63">
        <v>2</v>
      </c>
      <c r="S22" s="63">
        <v>1</v>
      </c>
      <c r="T22" s="64">
        <v>30491.3</v>
      </c>
      <c r="U22" s="64">
        <v>0</v>
      </c>
      <c r="V22" s="64">
        <v>0</v>
      </c>
      <c r="W22" s="64">
        <v>0</v>
      </c>
    </row>
    <row r="23" spans="1:25" ht="14.25" customHeight="1">
      <c r="A23" s="95">
        <v>46189</v>
      </c>
      <c r="B23" s="96" t="s">
        <v>35</v>
      </c>
      <c r="C23" s="97">
        <v>11</v>
      </c>
      <c r="D23" s="97">
        <v>18</v>
      </c>
      <c r="E23" s="97">
        <v>2</v>
      </c>
      <c r="F23" s="97">
        <v>222114.75</v>
      </c>
      <c r="G23" s="97">
        <v>180811</v>
      </c>
      <c r="H23" s="97">
        <v>0</v>
      </c>
      <c r="I23" s="101">
        <v>0</v>
      </c>
      <c r="J23" s="102">
        <v>46174</v>
      </c>
      <c r="O23" s="57">
        <v>46174</v>
      </c>
      <c r="P23" s="62" t="s">
        <v>52</v>
      </c>
      <c r="Q23" s="63">
        <v>7</v>
      </c>
      <c r="R23" s="63">
        <v>19</v>
      </c>
      <c r="S23" s="63">
        <v>0</v>
      </c>
      <c r="T23" s="64">
        <v>14293.11</v>
      </c>
      <c r="U23" s="64">
        <v>0</v>
      </c>
      <c r="V23" s="64">
        <v>0</v>
      </c>
      <c r="W23" s="64">
        <v>0</v>
      </c>
    </row>
    <row r="24" spans="1:25" ht="14.25" customHeight="1">
      <c r="A24" s="95">
        <v>46189</v>
      </c>
      <c r="B24" s="96" t="s">
        <v>48</v>
      </c>
      <c r="C24" s="97">
        <v>7</v>
      </c>
      <c r="D24" s="97">
        <v>16</v>
      </c>
      <c r="E24" s="97">
        <v>0.99999999999999989</v>
      </c>
      <c r="F24" s="97">
        <v>338357.35000000003</v>
      </c>
      <c r="G24" s="97">
        <v>28268.400000000001</v>
      </c>
      <c r="H24" s="97">
        <v>0</v>
      </c>
      <c r="I24" s="97">
        <v>0</v>
      </c>
      <c r="J24" s="98">
        <v>46174</v>
      </c>
      <c r="O24" s="57">
        <v>46174</v>
      </c>
      <c r="P24" s="62" t="s">
        <v>247</v>
      </c>
      <c r="Q24" s="63">
        <v>1</v>
      </c>
      <c r="R24" s="63">
        <v>1</v>
      </c>
      <c r="S24" s="63">
        <v>0</v>
      </c>
      <c r="T24" s="64">
        <v>0</v>
      </c>
      <c r="U24" s="64">
        <v>0</v>
      </c>
      <c r="V24" s="64">
        <v>0</v>
      </c>
      <c r="W24" s="64">
        <v>0</v>
      </c>
    </row>
    <row r="25" spans="1:25" ht="14.25" customHeight="1">
      <c r="A25" s="95">
        <v>46189</v>
      </c>
      <c r="B25" s="96" t="s">
        <v>64</v>
      </c>
      <c r="C25" s="97">
        <v>5</v>
      </c>
      <c r="D25" s="97">
        <v>10</v>
      </c>
      <c r="E25" s="97">
        <v>2</v>
      </c>
      <c r="F25" s="97">
        <v>67910.75</v>
      </c>
      <c r="G25" s="97">
        <v>131168.47999999998</v>
      </c>
      <c r="H25" s="97">
        <v>0</v>
      </c>
      <c r="I25" s="97">
        <v>0</v>
      </c>
      <c r="J25" s="98">
        <v>46174</v>
      </c>
      <c r="O25" s="57">
        <v>46174</v>
      </c>
      <c r="P25" s="62" t="s">
        <v>74</v>
      </c>
      <c r="Q25" s="63">
        <v>2</v>
      </c>
      <c r="R25" s="63">
        <v>6</v>
      </c>
      <c r="S25" s="63">
        <v>1</v>
      </c>
      <c r="T25" s="64">
        <v>42419.75</v>
      </c>
      <c r="U25" s="64">
        <v>0</v>
      </c>
      <c r="V25" s="64">
        <v>0</v>
      </c>
      <c r="W25" s="64">
        <v>0</v>
      </c>
    </row>
    <row r="26" spans="1:25" ht="14.25" customHeight="1">
      <c r="A26" s="95">
        <v>46189</v>
      </c>
      <c r="B26" s="96" t="s">
        <v>98</v>
      </c>
      <c r="C26" s="97">
        <v>8</v>
      </c>
      <c r="D26" s="97">
        <v>20</v>
      </c>
      <c r="E26" s="97">
        <v>1.9999999999999998</v>
      </c>
      <c r="F26" s="97">
        <v>33095.699999999997</v>
      </c>
      <c r="G26" s="97">
        <v>8400.9333333333343</v>
      </c>
      <c r="H26" s="97">
        <v>0</v>
      </c>
      <c r="I26" s="97">
        <v>0</v>
      </c>
      <c r="J26" s="98">
        <v>46174</v>
      </c>
      <c r="O26" s="57">
        <v>46174</v>
      </c>
      <c r="P26" s="62" t="s">
        <v>86</v>
      </c>
      <c r="Q26" s="63">
        <v>2</v>
      </c>
      <c r="R26" s="63">
        <v>2</v>
      </c>
      <c r="S26" s="63">
        <v>0</v>
      </c>
      <c r="T26" s="64">
        <v>0</v>
      </c>
      <c r="U26" s="64">
        <v>0</v>
      </c>
      <c r="V26" s="64">
        <v>0</v>
      </c>
      <c r="W26" s="64">
        <v>0</v>
      </c>
    </row>
    <row r="27" spans="1:25" ht="14.25" customHeight="1">
      <c r="A27" s="95">
        <v>46189</v>
      </c>
      <c r="B27" s="99" t="s">
        <v>42</v>
      </c>
      <c r="C27" s="100">
        <v>9</v>
      </c>
      <c r="D27" s="100">
        <v>22</v>
      </c>
      <c r="E27" s="100">
        <v>1</v>
      </c>
      <c r="F27" s="100">
        <v>45035.11</v>
      </c>
      <c r="G27" s="100">
        <v>74199.8</v>
      </c>
      <c r="H27" s="100">
        <v>0</v>
      </c>
      <c r="I27" s="100">
        <v>0</v>
      </c>
      <c r="J27" s="103">
        <v>46174</v>
      </c>
      <c r="O27" s="57">
        <v>46174</v>
      </c>
      <c r="P27" s="62" t="s">
        <v>47</v>
      </c>
      <c r="Q27" s="63">
        <v>4</v>
      </c>
      <c r="R27" s="63">
        <v>10</v>
      </c>
      <c r="S27" s="63">
        <v>0.99999999999999989</v>
      </c>
      <c r="T27" s="64">
        <v>385855.56999999995</v>
      </c>
      <c r="U27" s="64">
        <v>0</v>
      </c>
      <c r="V27" s="64">
        <v>0</v>
      </c>
      <c r="W27" s="64">
        <v>0</v>
      </c>
    </row>
    <row r="28" spans="1:25" ht="14.25" customHeight="1">
      <c r="O28" s="57">
        <v>46174</v>
      </c>
      <c r="P28" s="62" t="s">
        <v>69</v>
      </c>
      <c r="Q28" s="63">
        <v>1</v>
      </c>
      <c r="R28" s="63">
        <v>9</v>
      </c>
      <c r="S28" s="63">
        <v>0</v>
      </c>
      <c r="T28" s="64">
        <v>0</v>
      </c>
      <c r="U28" s="64">
        <v>0</v>
      </c>
      <c r="V28" s="64">
        <v>0</v>
      </c>
      <c r="W28" s="64">
        <v>0</v>
      </c>
    </row>
    <row r="29" spans="1:25" ht="14.25" customHeight="1">
      <c r="O29" s="57">
        <v>46174</v>
      </c>
      <c r="P29" s="62" t="s">
        <v>159</v>
      </c>
      <c r="Q29" s="63">
        <v>4</v>
      </c>
      <c r="R29" s="63">
        <v>9</v>
      </c>
      <c r="S29" s="63">
        <v>1</v>
      </c>
      <c r="T29" s="64">
        <v>16004.45</v>
      </c>
      <c r="U29" s="64">
        <v>0</v>
      </c>
      <c r="V29" s="64">
        <v>0</v>
      </c>
      <c r="W29" s="64">
        <v>0</v>
      </c>
    </row>
    <row r="30" spans="1:25" ht="14.25" customHeight="1">
      <c r="O30" s="57">
        <v>46174</v>
      </c>
      <c r="P30" s="62" t="s">
        <v>41</v>
      </c>
      <c r="Q30" s="63">
        <v>3</v>
      </c>
      <c r="R30" s="63">
        <v>4</v>
      </c>
      <c r="S30" s="63">
        <v>1</v>
      </c>
      <c r="T30" s="64">
        <v>42239</v>
      </c>
      <c r="U30" s="64">
        <v>0</v>
      </c>
      <c r="V30" s="64">
        <v>0</v>
      </c>
      <c r="W30" s="64">
        <v>0</v>
      </c>
    </row>
    <row r="31" spans="1:25" ht="14.25" customHeight="1">
      <c r="O31" s="57">
        <v>46174</v>
      </c>
      <c r="P31" s="62" t="s">
        <v>265</v>
      </c>
      <c r="Q31" s="63">
        <v>1</v>
      </c>
      <c r="R31" s="63">
        <v>1</v>
      </c>
      <c r="S31" s="63">
        <v>0</v>
      </c>
      <c r="T31" s="64">
        <v>0</v>
      </c>
      <c r="U31" s="64">
        <v>0</v>
      </c>
      <c r="V31" s="64">
        <v>0</v>
      </c>
      <c r="W31" s="64">
        <v>0</v>
      </c>
    </row>
    <row r="32" spans="1:25" ht="14.25" customHeight="1">
      <c r="O32" s="57">
        <v>46174</v>
      </c>
      <c r="P32" s="62" t="s">
        <v>271</v>
      </c>
      <c r="Q32" s="63">
        <v>1</v>
      </c>
      <c r="R32" s="63">
        <v>8</v>
      </c>
      <c r="S32" s="63">
        <v>1</v>
      </c>
      <c r="T32" s="64">
        <v>17702</v>
      </c>
      <c r="U32" s="64">
        <v>0</v>
      </c>
      <c r="V32" s="64">
        <v>0</v>
      </c>
      <c r="W32" s="64">
        <v>0</v>
      </c>
    </row>
    <row r="33" spans="15:26" ht="14.25" customHeight="1">
      <c r="O33" s="57">
        <v>46174</v>
      </c>
      <c r="P33" s="62" t="s">
        <v>203</v>
      </c>
      <c r="Q33" s="63">
        <v>2</v>
      </c>
      <c r="R33" s="63">
        <v>4</v>
      </c>
      <c r="S33" s="63">
        <v>0</v>
      </c>
      <c r="T33" s="64">
        <v>0</v>
      </c>
      <c r="U33" s="64">
        <v>0</v>
      </c>
      <c r="V33" s="64">
        <v>0</v>
      </c>
      <c r="W33" s="64">
        <v>0</v>
      </c>
    </row>
    <row r="34" spans="15:26" ht="14.25" customHeight="1">
      <c r="O34" s="57">
        <v>46174</v>
      </c>
      <c r="P34" s="62" t="s">
        <v>80</v>
      </c>
      <c r="Q34" s="63">
        <v>5</v>
      </c>
      <c r="R34" s="63">
        <v>5</v>
      </c>
      <c r="S34" s="63">
        <v>2</v>
      </c>
      <c r="T34" s="64">
        <v>225114.4</v>
      </c>
      <c r="U34" s="64">
        <v>0</v>
      </c>
      <c r="V34" s="64">
        <v>0</v>
      </c>
      <c r="W34" s="64">
        <v>0</v>
      </c>
    </row>
    <row r="35" spans="15:26" ht="14.25" customHeight="1">
      <c r="O35" s="57">
        <v>46174</v>
      </c>
      <c r="P35" s="62" t="s">
        <v>278</v>
      </c>
      <c r="Q35" s="63">
        <v>2</v>
      </c>
      <c r="R35" s="63">
        <v>2</v>
      </c>
      <c r="S35" s="63">
        <v>0</v>
      </c>
      <c r="T35" s="64">
        <v>0</v>
      </c>
      <c r="U35" s="64">
        <v>0</v>
      </c>
      <c r="V35" s="64">
        <v>0</v>
      </c>
      <c r="W35" s="64">
        <v>0</v>
      </c>
    </row>
    <row r="36" spans="15:26" ht="14.25" customHeight="1">
      <c r="O36" s="57">
        <v>46174</v>
      </c>
      <c r="P36" s="62" t="s">
        <v>34</v>
      </c>
      <c r="Q36" s="63">
        <v>2</v>
      </c>
      <c r="R36" s="63">
        <v>4</v>
      </c>
      <c r="S36" s="63">
        <v>0</v>
      </c>
      <c r="T36" s="64">
        <v>3</v>
      </c>
      <c r="U36" s="64">
        <v>0</v>
      </c>
      <c r="V36" s="64">
        <v>0</v>
      </c>
      <c r="W36" s="64">
        <v>0</v>
      </c>
    </row>
    <row r="37" spans="15:26" ht="14.25" customHeight="1">
      <c r="O37" s="57">
        <v>46174</v>
      </c>
      <c r="P37" s="62" t="s">
        <v>208</v>
      </c>
      <c r="Q37" s="63">
        <v>2</v>
      </c>
      <c r="R37" s="63">
        <v>3</v>
      </c>
      <c r="S37" s="63">
        <v>0</v>
      </c>
      <c r="T37" s="64">
        <v>0</v>
      </c>
      <c r="U37" s="64">
        <v>0</v>
      </c>
      <c r="V37" s="64">
        <v>0</v>
      </c>
      <c r="W37" s="64">
        <v>0</v>
      </c>
    </row>
    <row r="38" spans="15:26" ht="14.25" customHeight="1">
      <c r="O38" s="57">
        <v>46174</v>
      </c>
      <c r="P38" s="62" t="s">
        <v>284</v>
      </c>
      <c r="Q38" s="63">
        <v>5</v>
      </c>
      <c r="R38" s="63">
        <v>10</v>
      </c>
      <c r="S38" s="63">
        <v>1</v>
      </c>
      <c r="T38" s="64">
        <v>17325.7</v>
      </c>
      <c r="U38" s="64">
        <v>0</v>
      </c>
      <c r="V38" s="64">
        <v>0</v>
      </c>
      <c r="W38" s="64">
        <v>0</v>
      </c>
    </row>
    <row r="39" spans="15:26" ht="14.25" customHeight="1">
      <c r="O39" s="62" t="s">
        <v>566</v>
      </c>
      <c r="Q39" s="63">
        <v>70</v>
      </c>
      <c r="R39" s="63">
        <v>143</v>
      </c>
      <c r="S39" s="63">
        <v>19</v>
      </c>
      <c r="T39" s="64">
        <v>1086415.8199999998</v>
      </c>
      <c r="U39" s="64">
        <v>445864.22333333327</v>
      </c>
      <c r="V39" s="64">
        <v>0</v>
      </c>
      <c r="W39" s="64">
        <v>0</v>
      </c>
    </row>
    <row r="42" spans="15:26" ht="14.25" customHeight="1">
      <c r="O42" s="58" t="s">
        <v>571</v>
      </c>
      <c r="P42" s="59" t="s">
        <v>572</v>
      </c>
      <c r="Q42" s="59" t="s">
        <v>567</v>
      </c>
      <c r="R42" s="59" t="s">
        <v>568</v>
      </c>
      <c r="S42" s="59" t="s">
        <v>1138</v>
      </c>
      <c r="T42" s="59" t="s">
        <v>724</v>
      </c>
      <c r="U42" s="59" t="s">
        <v>723</v>
      </c>
      <c r="V42" s="59" t="s">
        <v>965</v>
      </c>
      <c r="W42" s="59" t="s">
        <v>968</v>
      </c>
      <c r="X42" s="60" t="s">
        <v>1</v>
      </c>
    </row>
    <row r="43" spans="15:26" ht="14.25" customHeight="1">
      <c r="O43" s="95">
        <v>46190</v>
      </c>
      <c r="P43" s="96" t="s">
        <v>97</v>
      </c>
      <c r="Q43" s="131">
        <f>IFERROR(VLOOKUP(AvanceEjecutivos[[#This Row],[Ejecutivos]],$P$22:$W$42,2,0),0)</f>
        <v>0</v>
      </c>
      <c r="R43" s="97">
        <f>IFERROR(VLOOKUP(AvanceEjecutivos[[#This Row],[Ejecutivos]],$P$22:$W$42,3,0),0)</f>
        <v>0</v>
      </c>
      <c r="S43" s="97">
        <f>IFERROR(VLOOKUP(AvanceEjecutivos[[#This Row],[Ejecutivos]],$P$22:$W$42,4,0),0)</f>
        <v>0</v>
      </c>
      <c r="T43" s="97">
        <f>IFERROR(VLOOKUP(AvanceEjecutivos[[#This Row],[Ejecutivos]],$P$22:$W$42,5,0),0)</f>
        <v>0</v>
      </c>
      <c r="U43" s="97">
        <f>IFERROR(VLOOKUP(AvanceEjecutivos[[#This Row],[Ejecutivos]],$P$2:$W$21,6,0),0)</f>
        <v>250</v>
      </c>
      <c r="V43" s="97">
        <f>IFERROR(VLOOKUP(AvanceEjecutivos[[#This Row],[Ejecutivos]],$P$2:$W$21,7,0),0)</f>
        <v>0</v>
      </c>
      <c r="W43" s="97">
        <f>IFERROR(VLOOKUP(AvanceEjecutivos[[#This Row],[Ejecutivos]],$P$2:$W$21,8,0),0)</f>
        <v>0</v>
      </c>
      <c r="X43" s="98">
        <f t="shared" ref="X43:X66" si="1">$O$22</f>
        <v>46174</v>
      </c>
      <c r="Z43" s="62" t="str" cm="1">
        <f t="array" ref="Z43:Z68">_xlfn._xlws.SORT(_xlfn.UNIQUE(P2:P41))</f>
        <v>Alberto Chaname</v>
      </c>
    </row>
    <row r="44" spans="15:26" ht="14.25" customHeight="1">
      <c r="O44" s="95">
        <v>46190</v>
      </c>
      <c r="P44" s="96" t="s">
        <v>218</v>
      </c>
      <c r="Q44" s="131">
        <f>IFERROR(VLOOKUP(AvanceEjecutivos[[#This Row],[Ejecutivos]],$P$22:$W$42,2,0),0)</f>
        <v>1</v>
      </c>
      <c r="R44" s="97">
        <f>IFERROR(VLOOKUP(AvanceEjecutivos[[#This Row],[Ejecutivos]],$P$22:$W$42,3,0),0)</f>
        <v>2</v>
      </c>
      <c r="S44" s="97">
        <f>IFERROR(VLOOKUP(AvanceEjecutivos[[#This Row],[Ejecutivos]],$P$22:$W$42,4,0),0)</f>
        <v>1</v>
      </c>
      <c r="T44" s="97">
        <f>IFERROR(VLOOKUP(AvanceEjecutivos[[#This Row],[Ejecutivos]],$P$22:$W$42,5,0),0)</f>
        <v>30491.3</v>
      </c>
      <c r="U44" s="97">
        <f>IFERROR(VLOOKUP(AvanceEjecutivos[[#This Row],[Ejecutivos]],$P$2:$W$21,6,0),0)</f>
        <v>19102.75</v>
      </c>
      <c r="V44" s="97">
        <f>IFERROR(VLOOKUP(AvanceEjecutivos[[#This Row],[Ejecutivos]],$P$2:$W$21,7,0),0)</f>
        <v>0</v>
      </c>
      <c r="W44" s="97">
        <f>IFERROR(VLOOKUP(AvanceEjecutivos[[#This Row],[Ejecutivos]],$P$2:$W$21,8,0),0)</f>
        <v>0</v>
      </c>
      <c r="X44" s="98">
        <f t="shared" si="1"/>
        <v>46174</v>
      </c>
      <c r="Z44" s="62" t="str">
        <v>Angelo Zavala</v>
      </c>
    </row>
    <row r="45" spans="15:26" ht="14.25" customHeight="1">
      <c r="O45" s="95">
        <v>46190</v>
      </c>
      <c r="P45" s="96" t="s">
        <v>52</v>
      </c>
      <c r="Q45" s="131">
        <f>IFERROR(VLOOKUP(AvanceEjecutivos[[#This Row],[Ejecutivos]],$P$22:$W$42,2,0),0)</f>
        <v>7</v>
      </c>
      <c r="R45" s="97">
        <f>IFERROR(VLOOKUP(AvanceEjecutivos[[#This Row],[Ejecutivos]],$P$22:$W$42,3,0),0)</f>
        <v>19</v>
      </c>
      <c r="S45" s="97">
        <f>IFERROR(VLOOKUP(AvanceEjecutivos[[#This Row],[Ejecutivos]],$P$22:$W$42,4,0),0)</f>
        <v>0</v>
      </c>
      <c r="T45" s="97">
        <f>IFERROR(VLOOKUP(AvanceEjecutivos[[#This Row],[Ejecutivos]],$P$22:$W$42,5,0),0)</f>
        <v>14293.11</v>
      </c>
      <c r="U45" s="97">
        <f>IFERROR(VLOOKUP(AvanceEjecutivos[[#This Row],[Ejecutivos]],$P$2:$W$21,6,0),0)</f>
        <v>29023.300000000003</v>
      </c>
      <c r="V45" s="97">
        <f>IFERROR(VLOOKUP(AvanceEjecutivos[[#This Row],[Ejecutivos]],$P$2:$W$21,7,0),0)</f>
        <v>0</v>
      </c>
      <c r="W45" s="97">
        <f>IFERROR(VLOOKUP(AvanceEjecutivos[[#This Row],[Ejecutivos]],$P$2:$W$21,8,0),0)</f>
        <v>0</v>
      </c>
      <c r="X45" s="98">
        <f t="shared" si="1"/>
        <v>46174</v>
      </c>
      <c r="Z45" s="62" t="str">
        <v>Antoni Sifuentes</v>
      </c>
    </row>
    <row r="46" spans="15:26" ht="14.25" customHeight="1">
      <c r="O46" s="95">
        <v>46190</v>
      </c>
      <c r="P46" s="96" t="s">
        <v>253</v>
      </c>
      <c r="Q46" s="131">
        <f>IFERROR(VLOOKUP(AvanceEjecutivos[[#This Row],[Ejecutivos]],$P$22:$W$42,2,0),0)</f>
        <v>0</v>
      </c>
      <c r="R46" s="97">
        <f>IFERROR(VLOOKUP(AvanceEjecutivos[[#This Row],[Ejecutivos]],$P$22:$W$42,3,0),0)</f>
        <v>0</v>
      </c>
      <c r="S46" s="97">
        <f>IFERROR(VLOOKUP(AvanceEjecutivos[[#This Row],[Ejecutivos]],$P$22:$W$42,4,0),0)</f>
        <v>0</v>
      </c>
      <c r="T46" s="97">
        <f>IFERROR(VLOOKUP(AvanceEjecutivos[[#This Row],[Ejecutivos]],$P$22:$W$42,5,0),0)</f>
        <v>0</v>
      </c>
      <c r="U46" s="97">
        <f>IFERROR(VLOOKUP(AvanceEjecutivos[[#This Row],[Ejecutivos]],$P$2:$W$21,6,0),0)</f>
        <v>4585</v>
      </c>
      <c r="V46" s="97">
        <f>IFERROR(VLOOKUP(AvanceEjecutivos[[#This Row],[Ejecutivos]],$P$2:$W$21,7,0),0)</f>
        <v>0</v>
      </c>
      <c r="W46" s="97">
        <f>IFERROR(VLOOKUP(AvanceEjecutivos[[#This Row],[Ejecutivos]],$P$2:$W$21,8,0),0)</f>
        <v>0</v>
      </c>
      <c r="X46" s="98">
        <f t="shared" si="1"/>
        <v>46174</v>
      </c>
      <c r="Z46" s="62" t="str">
        <v>Billy Villacrez</v>
      </c>
    </row>
    <row r="47" spans="15:26" ht="14.25" customHeight="1">
      <c r="O47" s="95">
        <v>46190</v>
      </c>
      <c r="P47" s="99" t="s">
        <v>258</v>
      </c>
      <c r="Q47" s="131">
        <f>IFERROR(VLOOKUP(AvanceEjecutivos[[#This Row],[Ejecutivos]],$P$22:$W$42,2,0),0)</f>
        <v>0</v>
      </c>
      <c r="R47" s="97">
        <f>IFERROR(VLOOKUP(AvanceEjecutivos[[#This Row],[Ejecutivos]],$P$22:$W$42,3,0),0)</f>
        <v>0</v>
      </c>
      <c r="S47" s="97">
        <f>IFERROR(VLOOKUP(AvanceEjecutivos[[#This Row],[Ejecutivos]],$P$22:$W$42,4,0),0)</f>
        <v>0</v>
      </c>
      <c r="T47" s="97">
        <f>IFERROR(VLOOKUP(AvanceEjecutivos[[#This Row],[Ejecutivos]],$P$22:$W$42,5,0),0)</f>
        <v>0</v>
      </c>
      <c r="U47" s="97">
        <f>IFERROR(VLOOKUP(AvanceEjecutivos[[#This Row],[Ejecutivos]],$P$2:$W$21,6,0),0)</f>
        <v>800</v>
      </c>
      <c r="V47" s="97">
        <f>IFERROR(VLOOKUP(AvanceEjecutivos[[#This Row],[Ejecutivos]],$P$2:$W$21,7,0),0)</f>
        <v>0</v>
      </c>
      <c r="W47" s="97">
        <f>IFERROR(VLOOKUP(AvanceEjecutivos[[#This Row],[Ejecutivos]],$P$2:$W$21,8,0),0)</f>
        <v>0</v>
      </c>
      <c r="X47" s="98">
        <f t="shared" si="1"/>
        <v>46174</v>
      </c>
      <c r="Z47" s="62" t="str">
        <v>Carlos Effio</v>
      </c>
    </row>
    <row r="48" spans="15:26" ht="14.25" customHeight="1">
      <c r="O48" s="95">
        <v>46190</v>
      </c>
      <c r="P48" s="96" t="s">
        <v>74</v>
      </c>
      <c r="Q48" s="131">
        <f>IFERROR(VLOOKUP(AvanceEjecutivos[[#This Row],[Ejecutivos]],$P$22:$W$42,2,0),0)</f>
        <v>2</v>
      </c>
      <c r="R48" s="97">
        <f>IFERROR(VLOOKUP(AvanceEjecutivos[[#This Row],[Ejecutivos]],$P$22:$W$42,3,0),0)</f>
        <v>6</v>
      </c>
      <c r="S48" s="97">
        <f>IFERROR(VLOOKUP(AvanceEjecutivos[[#This Row],[Ejecutivos]],$P$22:$W$42,4,0),0)</f>
        <v>1</v>
      </c>
      <c r="T48" s="97">
        <f>IFERROR(VLOOKUP(AvanceEjecutivos[[#This Row],[Ejecutivos]],$P$22:$W$42,5,0),0)</f>
        <v>42419.75</v>
      </c>
      <c r="U48" s="97">
        <f>IFERROR(VLOOKUP(AvanceEjecutivos[[#This Row],[Ejecutivos]],$P$2:$W$21,6,0),0)</f>
        <v>27051</v>
      </c>
      <c r="V48" s="97">
        <f>IFERROR(VLOOKUP(AvanceEjecutivos[[#This Row],[Ejecutivos]],$P$2:$W$21,7,0),0)</f>
        <v>0</v>
      </c>
      <c r="W48" s="97">
        <f>IFERROR(VLOOKUP(AvanceEjecutivos[[#This Row],[Ejecutivos]],$P$2:$W$21,8,0),0)</f>
        <v>0</v>
      </c>
      <c r="X48" s="98">
        <f t="shared" si="1"/>
        <v>46174</v>
      </c>
      <c r="Z48" s="62" t="str">
        <v>Claudia Negrete</v>
      </c>
    </row>
    <row r="49" spans="15:26" ht="14.25" customHeight="1">
      <c r="O49" s="95">
        <v>46190</v>
      </c>
      <c r="P49" s="96" t="s">
        <v>151</v>
      </c>
      <c r="Q49" s="131">
        <f>IFERROR(VLOOKUP(AvanceEjecutivos[[#This Row],[Ejecutivos]],$P$22:$W$42,2,0),0)</f>
        <v>0</v>
      </c>
      <c r="R49" s="97">
        <f>IFERROR(VLOOKUP(AvanceEjecutivos[[#This Row],[Ejecutivos]],$P$22:$W$42,3,0),0)</f>
        <v>0</v>
      </c>
      <c r="S49" s="97">
        <f>IFERROR(VLOOKUP(AvanceEjecutivos[[#This Row],[Ejecutivos]],$P$22:$W$42,4,0),0)</f>
        <v>0</v>
      </c>
      <c r="T49" s="97">
        <f>IFERROR(VLOOKUP(AvanceEjecutivos[[#This Row],[Ejecutivos]],$P$22:$W$42,5,0),0)</f>
        <v>0</v>
      </c>
      <c r="U49" s="97">
        <f>IFERROR(VLOOKUP(AvanceEjecutivos[[#This Row],[Ejecutivos]],$P$2:$W$21,6,0),0)</f>
        <v>0</v>
      </c>
      <c r="V49" s="97">
        <f>IFERROR(VLOOKUP(AvanceEjecutivos[[#This Row],[Ejecutivos]],$P$2:$W$21,7,0),0)</f>
        <v>0</v>
      </c>
      <c r="W49" s="97">
        <f>IFERROR(VLOOKUP(AvanceEjecutivos[[#This Row],[Ejecutivos]],$P$2:$W$21,8,0),0)</f>
        <v>0</v>
      </c>
      <c r="X49" s="98">
        <f t="shared" si="1"/>
        <v>46174</v>
      </c>
      <c r="Z49" s="62" t="str">
        <v>Edinson Chuyes</v>
      </c>
    </row>
    <row r="50" spans="15:26" ht="14.25" customHeight="1">
      <c r="O50" s="95">
        <v>46190</v>
      </c>
      <c r="P50" s="96" t="s">
        <v>86</v>
      </c>
      <c r="Q50" s="131">
        <f>IFERROR(VLOOKUP(AvanceEjecutivos[[#This Row],[Ejecutivos]],$P$22:$W$42,2,0),0)</f>
        <v>2</v>
      </c>
      <c r="R50" s="97">
        <f>IFERROR(VLOOKUP(AvanceEjecutivos[[#This Row],[Ejecutivos]],$P$22:$W$42,3,0),0)</f>
        <v>2</v>
      </c>
      <c r="S50" s="97">
        <f>IFERROR(VLOOKUP(AvanceEjecutivos[[#This Row],[Ejecutivos]],$P$22:$W$42,4,0),0)</f>
        <v>0</v>
      </c>
      <c r="T50" s="97">
        <f>IFERROR(VLOOKUP(AvanceEjecutivos[[#This Row],[Ejecutivos]],$P$22:$W$42,5,0),0)</f>
        <v>0</v>
      </c>
      <c r="U50" s="97">
        <f>IFERROR(VLOOKUP(AvanceEjecutivos[[#This Row],[Ejecutivos]],$P$2:$W$21,6,0),0)</f>
        <v>91978.07</v>
      </c>
      <c r="V50" s="97">
        <f>IFERROR(VLOOKUP(AvanceEjecutivos[[#This Row],[Ejecutivos]],$P$2:$W$21,7,0),0)</f>
        <v>0</v>
      </c>
      <c r="W50" s="97">
        <f>IFERROR(VLOOKUP(AvanceEjecutivos[[#This Row],[Ejecutivos]],$P$2:$W$21,8,0),0)</f>
        <v>0</v>
      </c>
      <c r="X50" s="98">
        <f t="shared" si="1"/>
        <v>46174</v>
      </c>
      <c r="Z50" s="62" t="str">
        <v>Giuliana Hereña</v>
      </c>
    </row>
    <row r="51" spans="15:26" ht="14.25" customHeight="1">
      <c r="O51" s="95">
        <v>46190</v>
      </c>
      <c r="P51" s="96" t="s">
        <v>47</v>
      </c>
      <c r="Q51" s="131">
        <f>IFERROR(VLOOKUP(AvanceEjecutivos[[#This Row],[Ejecutivos]],$P$22:$W$42,2,0),0)</f>
        <v>4</v>
      </c>
      <c r="R51" s="97">
        <f>IFERROR(VLOOKUP(AvanceEjecutivos[[#This Row],[Ejecutivos]],$P$22:$W$42,3,0),0)</f>
        <v>10</v>
      </c>
      <c r="S51" s="97">
        <f>IFERROR(VLOOKUP(AvanceEjecutivos[[#This Row],[Ejecutivos]],$P$22:$W$42,4,0),0)</f>
        <v>0.99999999999999989</v>
      </c>
      <c r="T51" s="97">
        <f>IFERROR(VLOOKUP(AvanceEjecutivos[[#This Row],[Ejecutivos]],$P$22:$W$42,5,0),0)</f>
        <v>385855.56999999995</v>
      </c>
      <c r="U51" s="97">
        <f>IFERROR(VLOOKUP(AvanceEjecutivos[[#This Row],[Ejecutivos]],$P$2:$W$21,6,0),0)</f>
        <v>28268.400000000001</v>
      </c>
      <c r="V51" s="97">
        <f>IFERROR(VLOOKUP(AvanceEjecutivos[[#This Row],[Ejecutivos]],$P$2:$W$21,7,0),0)</f>
        <v>0</v>
      </c>
      <c r="W51" s="97">
        <f>IFERROR(VLOOKUP(AvanceEjecutivos[[#This Row],[Ejecutivos]],$P$2:$W$21,8,0),0)</f>
        <v>0</v>
      </c>
      <c r="X51" s="98">
        <f t="shared" si="1"/>
        <v>46174</v>
      </c>
      <c r="Z51" s="62" t="str">
        <v>Guadalupe Del Pino</v>
      </c>
    </row>
    <row r="52" spans="15:26" ht="14.25" customHeight="1">
      <c r="O52" s="95">
        <v>46190</v>
      </c>
      <c r="P52" s="96" t="s">
        <v>69</v>
      </c>
      <c r="Q52" s="131">
        <f>IFERROR(VLOOKUP(AvanceEjecutivos[[#This Row],[Ejecutivos]],$P$22:$W$42,2,0),0)</f>
        <v>1</v>
      </c>
      <c r="R52" s="97">
        <f>IFERROR(VLOOKUP(AvanceEjecutivos[[#This Row],[Ejecutivos]],$P$22:$W$42,3,0),0)</f>
        <v>9</v>
      </c>
      <c r="S52" s="97">
        <f>IFERROR(VLOOKUP(AvanceEjecutivos[[#This Row],[Ejecutivos]],$P$22:$W$42,4,0),0)</f>
        <v>0</v>
      </c>
      <c r="T52" s="97">
        <f>IFERROR(VLOOKUP(AvanceEjecutivos[[#This Row],[Ejecutivos]],$P$22:$W$42,5,0),0)</f>
        <v>0</v>
      </c>
      <c r="U52" s="97">
        <f>IFERROR(VLOOKUP(AvanceEjecutivos[[#This Row],[Ejecutivos]],$P$2:$W$21,6,0),0)</f>
        <v>976</v>
      </c>
      <c r="V52" s="97">
        <f>IFERROR(VLOOKUP(AvanceEjecutivos[[#This Row],[Ejecutivos]],$P$2:$W$21,7,0),0)</f>
        <v>0</v>
      </c>
      <c r="W52" s="97">
        <f>IFERROR(VLOOKUP(AvanceEjecutivos[[#This Row],[Ejecutivos]],$P$2:$W$21,8,0),0)</f>
        <v>0</v>
      </c>
      <c r="X52" s="98">
        <f t="shared" si="1"/>
        <v>46174</v>
      </c>
      <c r="Z52" s="62" t="str">
        <v>Jackeline Matos</v>
      </c>
    </row>
    <row r="53" spans="15:26" ht="14.25" customHeight="1">
      <c r="O53" s="95">
        <v>46190</v>
      </c>
      <c r="P53" s="96" t="s">
        <v>159</v>
      </c>
      <c r="Q53" s="131">
        <f>IFERROR(VLOOKUP(AvanceEjecutivos[[#This Row],[Ejecutivos]],$P$22:$W$42,2,0),0)</f>
        <v>4</v>
      </c>
      <c r="R53" s="97">
        <f>IFERROR(VLOOKUP(AvanceEjecutivos[[#This Row],[Ejecutivos]],$P$22:$W$42,3,0),0)</f>
        <v>9</v>
      </c>
      <c r="S53" s="97">
        <f>IFERROR(VLOOKUP(AvanceEjecutivos[[#This Row],[Ejecutivos]],$P$22:$W$42,4,0),0)</f>
        <v>1</v>
      </c>
      <c r="T53" s="97">
        <f>IFERROR(VLOOKUP(AvanceEjecutivos[[#This Row],[Ejecutivos]],$P$22:$W$42,5,0),0)</f>
        <v>16004.45</v>
      </c>
      <c r="U53" s="97">
        <f>IFERROR(VLOOKUP(AvanceEjecutivos[[#This Row],[Ejecutivos]],$P$2:$W$21,6,0),0)</f>
        <v>16433.87</v>
      </c>
      <c r="V53" s="97">
        <f>IFERROR(VLOOKUP(AvanceEjecutivos[[#This Row],[Ejecutivos]],$P$2:$W$21,7,0),0)</f>
        <v>0</v>
      </c>
      <c r="W53" s="97">
        <f>IFERROR(VLOOKUP(AvanceEjecutivos[[#This Row],[Ejecutivos]],$P$2:$W$21,8,0),0)</f>
        <v>0</v>
      </c>
      <c r="X53" s="98">
        <f t="shared" si="1"/>
        <v>46174</v>
      </c>
      <c r="Z53" s="62" t="str">
        <v>Jonathan Lavado</v>
      </c>
    </row>
    <row r="54" spans="15:26" ht="14.25" customHeight="1">
      <c r="O54" s="95">
        <v>46190</v>
      </c>
      <c r="P54" s="96" t="s">
        <v>41</v>
      </c>
      <c r="Q54" s="131">
        <f>IFERROR(VLOOKUP(AvanceEjecutivos[[#This Row],[Ejecutivos]],$P$22:$W$42,2,0),0)</f>
        <v>3</v>
      </c>
      <c r="R54" s="97">
        <f>IFERROR(VLOOKUP(AvanceEjecutivos[[#This Row],[Ejecutivos]],$P$22:$W$42,3,0),0)</f>
        <v>4</v>
      </c>
      <c r="S54" s="97">
        <f>IFERROR(VLOOKUP(AvanceEjecutivos[[#This Row],[Ejecutivos]],$P$22:$W$42,4,0),0)</f>
        <v>1</v>
      </c>
      <c r="T54" s="97">
        <f>IFERROR(VLOOKUP(AvanceEjecutivos[[#This Row],[Ejecutivos]],$P$22:$W$42,5,0),0)</f>
        <v>42239</v>
      </c>
      <c r="U54" s="97">
        <f>IFERROR(VLOOKUP(AvanceEjecutivos[[#This Row],[Ejecutivos]],$P$2:$W$21,6,0),0)</f>
        <v>31668</v>
      </c>
      <c r="V54" s="97">
        <f>IFERROR(VLOOKUP(AvanceEjecutivos[[#This Row],[Ejecutivos]],$P$2:$W$21,7,0),0)</f>
        <v>0</v>
      </c>
      <c r="W54" s="97">
        <f>IFERROR(VLOOKUP(AvanceEjecutivos[[#This Row],[Ejecutivos]],$P$2:$W$21,8,0),0)</f>
        <v>0</v>
      </c>
      <c r="X54" s="98">
        <f t="shared" si="1"/>
        <v>46174</v>
      </c>
      <c r="Z54" s="62" t="str">
        <v>Jorge Jaimes</v>
      </c>
    </row>
    <row r="55" spans="15:26" ht="14.25" customHeight="1">
      <c r="O55" s="95">
        <v>46190</v>
      </c>
      <c r="P55" s="96" t="s">
        <v>265</v>
      </c>
      <c r="Q55" s="131">
        <f>IFERROR(VLOOKUP(AvanceEjecutivos[[#This Row],[Ejecutivos]],$P$22:$W$42,2,0),0)</f>
        <v>1</v>
      </c>
      <c r="R55" s="97">
        <f>IFERROR(VLOOKUP(AvanceEjecutivos[[#This Row],[Ejecutivos]],$P$22:$W$42,3,0),0)</f>
        <v>1</v>
      </c>
      <c r="S55" s="97">
        <f>IFERROR(VLOOKUP(AvanceEjecutivos[[#This Row],[Ejecutivos]],$P$22:$W$42,4,0),0)</f>
        <v>0</v>
      </c>
      <c r="T55" s="97">
        <f>IFERROR(VLOOKUP(AvanceEjecutivos[[#This Row],[Ejecutivos]],$P$22:$W$42,5,0),0)</f>
        <v>0</v>
      </c>
      <c r="U55" s="97">
        <f>IFERROR(VLOOKUP(AvanceEjecutivos[[#This Row],[Ejecutivos]],$P$2:$W$21,6,0),0)</f>
        <v>0</v>
      </c>
      <c r="V55" s="97">
        <f>IFERROR(VLOOKUP(AvanceEjecutivos[[#This Row],[Ejecutivos]],$P$2:$W$21,7,0),0)</f>
        <v>0</v>
      </c>
      <c r="W55" s="97">
        <f>IFERROR(VLOOKUP(AvanceEjecutivos[[#This Row],[Ejecutivos]],$P$2:$W$21,8,0),0)</f>
        <v>0</v>
      </c>
      <c r="X55" s="98">
        <f t="shared" si="1"/>
        <v>46174</v>
      </c>
      <c r="Z55" s="62" t="str">
        <v>Jose Mujica</v>
      </c>
    </row>
    <row r="56" spans="15:26" ht="14.25" customHeight="1">
      <c r="O56" s="95">
        <v>46190</v>
      </c>
      <c r="P56" s="96" t="s">
        <v>103</v>
      </c>
      <c r="Q56" s="131">
        <f>IFERROR(VLOOKUP(AvanceEjecutivos[[#This Row],[Ejecutivos]],$P$22:$W$42,2,0),0)</f>
        <v>0</v>
      </c>
      <c r="R56" s="97">
        <f>IFERROR(VLOOKUP(AvanceEjecutivos[[#This Row],[Ejecutivos]],$P$22:$W$42,3,0),0)</f>
        <v>0</v>
      </c>
      <c r="S56" s="97">
        <f>IFERROR(VLOOKUP(AvanceEjecutivos[[#This Row],[Ejecutivos]],$P$22:$W$42,4,0),0)</f>
        <v>0</v>
      </c>
      <c r="T56" s="97">
        <f>IFERROR(VLOOKUP(AvanceEjecutivos[[#This Row],[Ejecutivos]],$P$22:$W$42,5,0),0)</f>
        <v>0</v>
      </c>
      <c r="U56" s="97">
        <f>IFERROR(VLOOKUP(AvanceEjecutivos[[#This Row],[Ejecutivos]],$P$2:$W$21,6,0),0)</f>
        <v>0</v>
      </c>
      <c r="V56" s="97">
        <f>IFERROR(VLOOKUP(AvanceEjecutivos[[#This Row],[Ejecutivos]],$P$2:$W$21,7,0),0)</f>
        <v>0</v>
      </c>
      <c r="W56" s="97">
        <f>IFERROR(VLOOKUP(AvanceEjecutivos[[#This Row],[Ejecutivos]],$P$2:$W$21,8,0),0)</f>
        <v>0</v>
      </c>
      <c r="X56" s="98">
        <f t="shared" si="1"/>
        <v>46174</v>
      </c>
      <c r="Z56" s="62" t="str">
        <v>Katherine Zuloeta</v>
      </c>
    </row>
    <row r="57" spans="15:26" ht="14.25" customHeight="1">
      <c r="O57" s="95">
        <v>46190</v>
      </c>
      <c r="P57" s="96" t="s">
        <v>271</v>
      </c>
      <c r="Q57" s="131">
        <f>IFERROR(VLOOKUP(AvanceEjecutivos[[#This Row],[Ejecutivos]],$P$22:$W$42,2,0),0)</f>
        <v>1</v>
      </c>
      <c r="R57" s="97">
        <f>IFERROR(VLOOKUP(AvanceEjecutivos[[#This Row],[Ejecutivos]],$P$22:$W$42,3,0),0)</f>
        <v>8</v>
      </c>
      <c r="S57" s="97">
        <f>IFERROR(VLOOKUP(AvanceEjecutivos[[#This Row],[Ejecutivos]],$P$22:$W$42,4,0),0)</f>
        <v>1</v>
      </c>
      <c r="T57" s="97">
        <f>IFERROR(VLOOKUP(AvanceEjecutivos[[#This Row],[Ejecutivos]],$P$22:$W$42,5,0),0)</f>
        <v>17702</v>
      </c>
      <c r="U57" s="97">
        <f>IFERROR(VLOOKUP(AvanceEjecutivos[[#This Row],[Ejecutivos]],$P$2:$W$21,6,0),0)</f>
        <v>0</v>
      </c>
      <c r="V57" s="97">
        <f>IFERROR(VLOOKUP(AvanceEjecutivos[[#This Row],[Ejecutivos]],$P$2:$W$21,7,0),0)</f>
        <v>0</v>
      </c>
      <c r="W57" s="97">
        <f>IFERROR(VLOOKUP(AvanceEjecutivos[[#This Row],[Ejecutivos]],$P$2:$W$21,8,0),0)</f>
        <v>0</v>
      </c>
      <c r="X57" s="98">
        <f t="shared" si="1"/>
        <v>46174</v>
      </c>
      <c r="Z57" s="62" t="str">
        <v>Leonardo Torres</v>
      </c>
    </row>
    <row r="58" spans="15:26" ht="14.25" customHeight="1">
      <c r="O58" s="95">
        <v>46190</v>
      </c>
      <c r="P58" s="96" t="s">
        <v>203</v>
      </c>
      <c r="Q58" s="131">
        <f>IFERROR(VLOOKUP(AvanceEjecutivos[[#This Row],[Ejecutivos]],$P$22:$W$42,2,0),0)</f>
        <v>2</v>
      </c>
      <c r="R58" s="97">
        <f>IFERROR(VLOOKUP(AvanceEjecutivos[[#This Row],[Ejecutivos]],$P$22:$W$42,3,0),0)</f>
        <v>4</v>
      </c>
      <c r="S58" s="97">
        <f>IFERROR(VLOOKUP(AvanceEjecutivos[[#This Row],[Ejecutivos]],$P$22:$W$42,4,0),0)</f>
        <v>0</v>
      </c>
      <c r="T58" s="97">
        <f>IFERROR(VLOOKUP(AvanceEjecutivos[[#This Row],[Ejecutivos]],$P$22:$W$42,5,0),0)</f>
        <v>0</v>
      </c>
      <c r="U58" s="97">
        <f>IFERROR(VLOOKUP(AvanceEjecutivos[[#This Row],[Ejecutivos]],$P$2:$W$21,6,0),0)</f>
        <v>0</v>
      </c>
      <c r="V58" s="97">
        <f>IFERROR(VLOOKUP(AvanceEjecutivos[[#This Row],[Ejecutivos]],$P$2:$W$21,7,0),0)</f>
        <v>0</v>
      </c>
      <c r="W58" s="97">
        <f>IFERROR(VLOOKUP(AvanceEjecutivos[[#This Row],[Ejecutivos]],$P$2:$W$21,8,0),0)</f>
        <v>0</v>
      </c>
      <c r="X58" s="98">
        <f t="shared" si="1"/>
        <v>46174</v>
      </c>
      <c r="Z58" s="62" t="str">
        <v>Lin Ley Casique</v>
      </c>
    </row>
    <row r="59" spans="15:26" ht="14.25" customHeight="1">
      <c r="O59" s="95">
        <v>46190</v>
      </c>
      <c r="P59" s="96" t="s">
        <v>80</v>
      </c>
      <c r="Q59" s="131">
        <f>IFERROR(VLOOKUP(AvanceEjecutivos[[#This Row],[Ejecutivos]],$P$22:$W$42,2,0),0)</f>
        <v>5</v>
      </c>
      <c r="R59" s="97">
        <f>IFERROR(VLOOKUP(AvanceEjecutivos[[#This Row],[Ejecutivos]],$P$22:$W$42,3,0),0)</f>
        <v>5</v>
      </c>
      <c r="S59" s="97">
        <f>IFERROR(VLOOKUP(AvanceEjecutivos[[#This Row],[Ejecutivos]],$P$22:$W$42,4,0),0)</f>
        <v>2</v>
      </c>
      <c r="T59" s="97">
        <f>IFERROR(VLOOKUP(AvanceEjecutivos[[#This Row],[Ejecutivos]],$P$22:$W$42,5,0),0)</f>
        <v>225114.4</v>
      </c>
      <c r="U59" s="97">
        <f>IFERROR(VLOOKUP(AvanceEjecutivos[[#This Row],[Ejecutivos]],$P$2:$W$21,6,0),0)</f>
        <v>164529.69999999998</v>
      </c>
      <c r="V59" s="97">
        <f>IFERROR(VLOOKUP(AvanceEjecutivos[[#This Row],[Ejecutivos]],$P$2:$W$21,7,0),0)</f>
        <v>0</v>
      </c>
      <c r="W59" s="97">
        <f>IFERROR(VLOOKUP(AvanceEjecutivos[[#This Row],[Ejecutivos]],$P$2:$W$21,8,0),0)</f>
        <v>0</v>
      </c>
      <c r="X59" s="98">
        <f t="shared" si="1"/>
        <v>46174</v>
      </c>
      <c r="Z59" s="62" t="str">
        <v>Luigi Castillo</v>
      </c>
    </row>
    <row r="60" spans="15:26" ht="14.25" customHeight="1">
      <c r="O60" s="95">
        <v>46190</v>
      </c>
      <c r="P60" s="96" t="s">
        <v>278</v>
      </c>
      <c r="Q60" s="131">
        <f>IFERROR(VLOOKUP(AvanceEjecutivos[[#This Row],[Ejecutivos]],$P$22:$W$42,2,0),0)</f>
        <v>2</v>
      </c>
      <c r="R60" s="97">
        <f>IFERROR(VLOOKUP(AvanceEjecutivos[[#This Row],[Ejecutivos]],$P$22:$W$42,3,0),0)</f>
        <v>2</v>
      </c>
      <c r="S60" s="97">
        <f>IFERROR(VLOOKUP(AvanceEjecutivos[[#This Row],[Ejecutivos]],$P$22:$W$42,4,0),0)</f>
        <v>0</v>
      </c>
      <c r="T60" s="97">
        <f>IFERROR(VLOOKUP(AvanceEjecutivos[[#This Row],[Ejecutivos]],$P$22:$W$42,5,0),0)</f>
        <v>0</v>
      </c>
      <c r="U60" s="97">
        <f>IFERROR(VLOOKUP(AvanceEjecutivos[[#This Row],[Ejecutivos]],$P$2:$W$21,6,0),0)</f>
        <v>4682.9333333333343</v>
      </c>
      <c r="V60" s="97">
        <f>IFERROR(VLOOKUP(AvanceEjecutivos[[#This Row],[Ejecutivos]],$P$2:$W$21,7,0),0)</f>
        <v>0</v>
      </c>
      <c r="W60" s="97">
        <f>IFERROR(VLOOKUP(AvanceEjecutivos[[#This Row],[Ejecutivos]],$P$2:$W$21,8,0),0)</f>
        <v>0</v>
      </c>
      <c r="X60" s="98">
        <f t="shared" si="1"/>
        <v>46174</v>
      </c>
      <c r="Z60" s="62" t="str">
        <v>Maria Godoy</v>
      </c>
    </row>
    <row r="61" spans="15:26" ht="14.25" customHeight="1">
      <c r="O61" s="95">
        <v>46190</v>
      </c>
      <c r="P61" s="96" t="s">
        <v>34</v>
      </c>
      <c r="Q61" s="131">
        <f>IFERROR(VLOOKUP(AvanceEjecutivos[[#This Row],[Ejecutivos]],$P$22:$W$42,2,0),0)</f>
        <v>2</v>
      </c>
      <c r="R61" s="97">
        <f>IFERROR(VLOOKUP(AvanceEjecutivos[[#This Row],[Ejecutivos]],$P$22:$W$42,3,0),0)</f>
        <v>4</v>
      </c>
      <c r="S61" s="97">
        <f>IFERROR(VLOOKUP(AvanceEjecutivos[[#This Row],[Ejecutivos]],$P$22:$W$42,4,0),0)</f>
        <v>0</v>
      </c>
      <c r="T61" s="97">
        <f>IFERROR(VLOOKUP(AvanceEjecutivos[[#This Row],[Ejecutivos]],$P$22:$W$42,5,0),0)</f>
        <v>3</v>
      </c>
      <c r="U61" s="97">
        <f>IFERROR(VLOOKUP(AvanceEjecutivos[[#This Row],[Ejecutivos]],$P$2:$W$21,6,0),0)</f>
        <v>0</v>
      </c>
      <c r="V61" s="97">
        <f>IFERROR(VLOOKUP(AvanceEjecutivos[[#This Row],[Ejecutivos]],$P$2:$W$21,7,0),0)</f>
        <v>0</v>
      </c>
      <c r="W61" s="97">
        <f>IFERROR(VLOOKUP(AvanceEjecutivos[[#This Row],[Ejecutivos]],$P$2:$W$21,8,0),0)</f>
        <v>0</v>
      </c>
      <c r="X61" s="98">
        <f t="shared" si="1"/>
        <v>46174</v>
      </c>
      <c r="Z61" s="62" t="str">
        <v>Marlon Martinez</v>
      </c>
    </row>
    <row r="62" spans="15:26" ht="14.25" customHeight="1">
      <c r="O62" s="95">
        <v>46190</v>
      </c>
      <c r="P62" s="96" t="s">
        <v>319</v>
      </c>
      <c r="Q62" s="131">
        <f>IFERROR(VLOOKUP(AvanceEjecutivos[[#This Row],[Ejecutivos]],$P$22:$W$42,2,0),0)</f>
        <v>0</v>
      </c>
      <c r="R62" s="97">
        <f>IFERROR(VLOOKUP(AvanceEjecutivos[[#This Row],[Ejecutivos]],$P$22:$W$42,3,0),0)</f>
        <v>0</v>
      </c>
      <c r="S62" s="97">
        <f>IFERROR(VLOOKUP(AvanceEjecutivos[[#This Row],[Ejecutivos]],$P$22:$W$42,4,0),0)</f>
        <v>0</v>
      </c>
      <c r="T62" s="97">
        <f>IFERROR(VLOOKUP(AvanceEjecutivos[[#This Row],[Ejecutivos]],$P$22:$W$42,5,0),0)</f>
        <v>0</v>
      </c>
      <c r="U62" s="97">
        <f>IFERROR(VLOOKUP(AvanceEjecutivos[[#This Row],[Ejecutivos]],$P$2:$W$21,6,0),0)</f>
        <v>16903.2</v>
      </c>
      <c r="V62" s="97">
        <f>IFERROR(VLOOKUP(AvanceEjecutivos[[#This Row],[Ejecutivos]],$P$2:$W$21,7,0),0)</f>
        <v>0</v>
      </c>
      <c r="W62" s="97">
        <f>IFERROR(VLOOKUP(AvanceEjecutivos[[#This Row],[Ejecutivos]],$P$2:$W$21,8,0),0)</f>
        <v>0</v>
      </c>
      <c r="X62" s="98">
        <f t="shared" si="1"/>
        <v>46174</v>
      </c>
      <c r="Z62" s="62" t="str">
        <v>Milagros Rocha</v>
      </c>
    </row>
    <row r="63" spans="15:26" ht="14.25" customHeight="1">
      <c r="O63" s="95">
        <v>46190</v>
      </c>
      <c r="P63" s="96" t="s">
        <v>208</v>
      </c>
      <c r="Q63" s="131">
        <f>IFERROR(VLOOKUP(AvanceEjecutivos[[#This Row],[Ejecutivos]],$P$22:$W$42,2,0),0)</f>
        <v>2</v>
      </c>
      <c r="R63" s="97">
        <f>IFERROR(VLOOKUP(AvanceEjecutivos[[#This Row],[Ejecutivos]],$P$22:$W$42,3,0),0)</f>
        <v>3</v>
      </c>
      <c r="S63" s="97">
        <f>IFERROR(VLOOKUP(AvanceEjecutivos[[#This Row],[Ejecutivos]],$P$22:$W$42,4,0),0)</f>
        <v>0</v>
      </c>
      <c r="T63" s="97">
        <f>IFERROR(VLOOKUP(AvanceEjecutivos[[#This Row],[Ejecutivos]],$P$22:$W$42,5,0),0)</f>
        <v>0</v>
      </c>
      <c r="U63" s="97">
        <f>IFERROR(VLOOKUP(AvanceEjecutivos[[#This Row],[Ejecutivos]],$P$2:$W$21,6,0),0)</f>
        <v>0</v>
      </c>
      <c r="V63" s="97">
        <f>IFERROR(VLOOKUP(AvanceEjecutivos[[#This Row],[Ejecutivos]],$P$2:$W$21,7,0),0)</f>
        <v>0</v>
      </c>
      <c r="W63" s="97">
        <f>IFERROR(VLOOKUP(AvanceEjecutivos[[#This Row],[Ejecutivos]],$P$2:$W$21,8,0),0)</f>
        <v>0</v>
      </c>
      <c r="X63" s="98">
        <f t="shared" si="1"/>
        <v>46174</v>
      </c>
      <c r="Z63" s="62" t="str">
        <v>Milagros Zuniga</v>
      </c>
    </row>
    <row r="64" spans="15:26" ht="14.25" customHeight="1">
      <c r="O64" s="95">
        <v>46190</v>
      </c>
      <c r="P64" s="96" t="s">
        <v>63</v>
      </c>
      <c r="Q64" s="131">
        <f>IFERROR(VLOOKUP(AvanceEjecutivos[[#This Row],[Ejecutivos]],$P$22:$W$42,2,0),0)</f>
        <v>0</v>
      </c>
      <c r="R64" s="97">
        <f>IFERROR(VLOOKUP(AvanceEjecutivos[[#This Row],[Ejecutivos]],$P$22:$W$42,3,0),0)</f>
        <v>0</v>
      </c>
      <c r="S64" s="97">
        <f>IFERROR(VLOOKUP(AvanceEjecutivos[[#This Row],[Ejecutivos]],$P$22:$W$42,4,0),0)</f>
        <v>0</v>
      </c>
      <c r="T64" s="97">
        <f>IFERROR(VLOOKUP(AvanceEjecutivos[[#This Row],[Ejecutivos]],$P$22:$W$42,5,0),0)</f>
        <v>0</v>
      </c>
      <c r="U64" s="97">
        <f>IFERROR(VLOOKUP(AvanceEjecutivos[[#This Row],[Ejecutivos]],$P$2:$W$21,6,0),0)</f>
        <v>1597</v>
      </c>
      <c r="V64" s="97">
        <f>IFERROR(VLOOKUP(AvanceEjecutivos[[#This Row],[Ejecutivos]],$P$2:$W$21,7,0),0)</f>
        <v>0</v>
      </c>
      <c r="W64" s="97">
        <f>IFERROR(VLOOKUP(AvanceEjecutivos[[#This Row],[Ejecutivos]],$P$2:$W$21,8,0),0)</f>
        <v>0</v>
      </c>
      <c r="X64" s="98">
        <f t="shared" si="1"/>
        <v>46174</v>
      </c>
      <c r="Z64" s="62" t="str">
        <v>Nestor Jarama</v>
      </c>
    </row>
    <row r="65" spans="15:26" ht="14.25" customHeight="1">
      <c r="O65" s="95">
        <v>46190</v>
      </c>
      <c r="P65" s="96" t="s">
        <v>284</v>
      </c>
      <c r="Q65" s="131">
        <f>IFERROR(VLOOKUP(AvanceEjecutivos[[#This Row],[Ejecutivos]],$P$22:$W$42,2,0),0)</f>
        <v>5</v>
      </c>
      <c r="R65" s="97">
        <f>IFERROR(VLOOKUP(AvanceEjecutivos[[#This Row],[Ejecutivos]],$P$22:$W$42,3,0),0)</f>
        <v>10</v>
      </c>
      <c r="S65" s="97">
        <f>IFERROR(VLOOKUP(AvanceEjecutivos[[#This Row],[Ejecutivos]],$P$22:$W$42,4,0),0)</f>
        <v>1</v>
      </c>
      <c r="T65" s="97">
        <f>IFERROR(VLOOKUP(AvanceEjecutivos[[#This Row],[Ejecutivos]],$P$22:$W$42,5,0),0)</f>
        <v>17325.7</v>
      </c>
      <c r="U65" s="97">
        <f>IFERROR(VLOOKUP(AvanceEjecutivos[[#This Row],[Ejecutivos]],$P$2:$W$21,6,0),0)</f>
        <v>0</v>
      </c>
      <c r="V65" s="97">
        <f>IFERROR(VLOOKUP(AvanceEjecutivos[[#This Row],[Ejecutivos]],$P$2:$W$21,7,0),0)</f>
        <v>0</v>
      </c>
      <c r="W65" s="97">
        <f>IFERROR(VLOOKUP(AvanceEjecutivos[[#This Row],[Ejecutivos]],$P$2:$W$21,8,0),0)</f>
        <v>0</v>
      </c>
      <c r="X65" s="98">
        <f t="shared" si="1"/>
        <v>46174</v>
      </c>
      <c r="Z65" s="62" t="str">
        <v>Richard Benites</v>
      </c>
    </row>
    <row r="66" spans="15:26" ht="14.25" customHeight="1">
      <c r="O66" s="95">
        <v>46190</v>
      </c>
      <c r="P66" s="96" t="s">
        <v>189</v>
      </c>
      <c r="Q66" s="131">
        <f>IFERROR(VLOOKUP(AvanceEjecutivos[[#This Row],[Ejecutivos]],$P$22:$W$42,2,0),0)</f>
        <v>0</v>
      </c>
      <c r="R66" s="97">
        <f>IFERROR(VLOOKUP(AvanceEjecutivos[[#This Row],[Ejecutivos]],$P$22:$W$42,3,0),0)</f>
        <v>0</v>
      </c>
      <c r="S66" s="97">
        <f>IFERROR(VLOOKUP(AvanceEjecutivos[[#This Row],[Ejecutivos]],$P$22:$W$42,4,0),0)</f>
        <v>0</v>
      </c>
      <c r="T66" s="97">
        <f>IFERROR(VLOOKUP(AvanceEjecutivos[[#This Row],[Ejecutivos]],$P$22:$W$42,5,0),0)</f>
        <v>0</v>
      </c>
      <c r="U66" s="97">
        <f>IFERROR(VLOOKUP(AvanceEjecutivos[[#This Row],[Ejecutivos]],$P$2:$W$21,6,0),0)</f>
        <v>8015</v>
      </c>
      <c r="V66" s="97">
        <f>IFERROR(VLOOKUP(AvanceEjecutivos[[#This Row],[Ejecutivos]],$P$2:$W$21,7,0),0)</f>
        <v>0</v>
      </c>
      <c r="W66" s="97">
        <f>IFERROR(VLOOKUP(AvanceEjecutivos[[#This Row],[Ejecutivos]],$P$2:$W$21,8,0),0)</f>
        <v>0</v>
      </c>
      <c r="X66" s="98">
        <f t="shared" si="1"/>
        <v>46174</v>
      </c>
      <c r="Z66" s="62" t="str">
        <v>William Cortez</v>
      </c>
    </row>
    <row r="67" spans="15:26" ht="14.25" customHeight="1">
      <c r="O67" s="95">
        <v>46189</v>
      </c>
      <c r="P67" s="96" t="s">
        <v>97</v>
      </c>
      <c r="Q67" s="131">
        <v>0</v>
      </c>
      <c r="R67" s="97">
        <v>0</v>
      </c>
      <c r="S67" s="97">
        <v>0</v>
      </c>
      <c r="T67" s="97">
        <v>0</v>
      </c>
      <c r="U67" s="97">
        <v>250</v>
      </c>
      <c r="V67" s="97">
        <v>0</v>
      </c>
      <c r="W67" s="97">
        <v>0</v>
      </c>
      <c r="X67" s="98">
        <f t="shared" ref="X67:X90" si="2">$O$22</f>
        <v>46174</v>
      </c>
      <c r="Z67" s="62" t="str">
        <v>Yessica Ruiz</v>
      </c>
    </row>
    <row r="68" spans="15:26" ht="14.25" customHeight="1">
      <c r="O68" s="95">
        <v>46189</v>
      </c>
      <c r="P68" s="96" t="s">
        <v>218</v>
      </c>
      <c r="Q68" s="131">
        <v>1</v>
      </c>
      <c r="R68" s="97">
        <v>2</v>
      </c>
      <c r="S68" s="97">
        <v>1</v>
      </c>
      <c r="T68" s="97">
        <v>28425.5</v>
      </c>
      <c r="U68" s="97">
        <v>19102.750000000004</v>
      </c>
      <c r="V68" s="97">
        <v>0</v>
      </c>
      <c r="W68" s="97">
        <v>0</v>
      </c>
      <c r="X68" s="98">
        <f t="shared" si="2"/>
        <v>46174</v>
      </c>
      <c r="Z68" s="62">
        <v>0</v>
      </c>
    </row>
    <row r="69" spans="15:26" ht="14.25" customHeight="1">
      <c r="O69" s="95">
        <v>46189</v>
      </c>
      <c r="P69" s="96" t="s">
        <v>52</v>
      </c>
      <c r="Q69" s="131">
        <v>6</v>
      </c>
      <c r="R69" s="97">
        <v>18</v>
      </c>
      <c r="S69" s="97">
        <v>0</v>
      </c>
      <c r="T69" s="97">
        <v>12597.11</v>
      </c>
      <c r="U69" s="97">
        <v>27760.3</v>
      </c>
      <c r="V69" s="97">
        <v>0</v>
      </c>
      <c r="W69" s="97">
        <v>0</v>
      </c>
      <c r="X69" s="98">
        <f t="shared" si="2"/>
        <v>46174</v>
      </c>
    </row>
    <row r="70" spans="15:26" ht="14.25" customHeight="1">
      <c r="O70" s="95">
        <v>46189</v>
      </c>
      <c r="P70" s="96" t="s">
        <v>253</v>
      </c>
      <c r="Q70" s="131">
        <v>0</v>
      </c>
      <c r="R70" s="97">
        <v>0</v>
      </c>
      <c r="S70" s="97">
        <v>0</v>
      </c>
      <c r="T70" s="97">
        <v>0</v>
      </c>
      <c r="U70" s="97">
        <v>4525</v>
      </c>
      <c r="V70" s="97">
        <v>0</v>
      </c>
      <c r="W70" s="97">
        <v>0</v>
      </c>
      <c r="X70" s="98">
        <f t="shared" si="2"/>
        <v>46174</v>
      </c>
    </row>
    <row r="71" spans="15:26" ht="14.25" customHeight="1">
      <c r="O71" s="95">
        <v>46189</v>
      </c>
      <c r="P71" s="99" t="s">
        <v>258</v>
      </c>
      <c r="Q71" s="132">
        <v>0</v>
      </c>
      <c r="R71" s="100">
        <v>0</v>
      </c>
      <c r="S71" s="100">
        <v>0</v>
      </c>
      <c r="T71" s="100">
        <v>0</v>
      </c>
      <c r="U71" s="100">
        <v>0</v>
      </c>
      <c r="V71" s="100">
        <v>0</v>
      </c>
      <c r="W71" s="100">
        <v>0</v>
      </c>
      <c r="X71" s="98">
        <f t="shared" si="2"/>
        <v>46174</v>
      </c>
    </row>
    <row r="72" spans="15:26" ht="14.25" customHeight="1">
      <c r="O72" s="95">
        <v>46189</v>
      </c>
      <c r="P72" s="96" t="s">
        <v>74</v>
      </c>
      <c r="Q72" s="131">
        <v>2</v>
      </c>
      <c r="R72" s="97">
        <v>6</v>
      </c>
      <c r="S72" s="97">
        <v>1</v>
      </c>
      <c r="T72" s="97">
        <v>39485.25</v>
      </c>
      <c r="U72" s="97">
        <v>25747</v>
      </c>
      <c r="V72" s="97">
        <v>0</v>
      </c>
      <c r="W72" s="97">
        <v>0</v>
      </c>
      <c r="X72" s="98">
        <f t="shared" si="2"/>
        <v>46174</v>
      </c>
    </row>
    <row r="73" spans="15:26" ht="14.25" customHeight="1">
      <c r="O73" s="95">
        <v>46189</v>
      </c>
      <c r="P73" s="96" t="s">
        <v>151</v>
      </c>
      <c r="Q73" s="131">
        <v>0</v>
      </c>
      <c r="R73" s="97">
        <v>0</v>
      </c>
      <c r="S73" s="97">
        <v>0</v>
      </c>
      <c r="T73" s="97">
        <v>0</v>
      </c>
      <c r="U73" s="97">
        <v>0</v>
      </c>
      <c r="V73" s="97">
        <v>0</v>
      </c>
      <c r="W73" s="97">
        <v>0</v>
      </c>
      <c r="X73" s="98">
        <f t="shared" si="2"/>
        <v>46174</v>
      </c>
    </row>
    <row r="74" spans="15:26" ht="14.25" customHeight="1">
      <c r="O74" s="95">
        <v>46189</v>
      </c>
      <c r="P74" s="96" t="s">
        <v>86</v>
      </c>
      <c r="Q74" s="131">
        <v>2</v>
      </c>
      <c r="R74" s="97">
        <v>2</v>
      </c>
      <c r="S74" s="97">
        <v>0</v>
      </c>
      <c r="T74" s="97">
        <v>0</v>
      </c>
      <c r="U74" s="97">
        <v>84105.73</v>
      </c>
      <c r="V74" s="97">
        <v>0</v>
      </c>
      <c r="W74" s="97">
        <v>0</v>
      </c>
      <c r="X74" s="98">
        <f t="shared" si="2"/>
        <v>46174</v>
      </c>
    </row>
    <row r="75" spans="15:26" ht="14.25" customHeight="1">
      <c r="O75" s="95">
        <v>46189</v>
      </c>
      <c r="P75" s="96" t="s">
        <v>47</v>
      </c>
      <c r="Q75" s="131">
        <v>3</v>
      </c>
      <c r="R75" s="97">
        <v>9</v>
      </c>
      <c r="S75" s="97">
        <v>0.99999999999999989</v>
      </c>
      <c r="T75" s="97">
        <v>338357.35000000003</v>
      </c>
      <c r="U75" s="97">
        <v>28268.400000000001</v>
      </c>
      <c r="V75" s="97">
        <v>0</v>
      </c>
      <c r="W75" s="97">
        <v>0</v>
      </c>
      <c r="X75" s="98">
        <f t="shared" si="2"/>
        <v>46174</v>
      </c>
    </row>
    <row r="76" spans="15:26" ht="14.25" customHeight="1">
      <c r="O76" s="95">
        <v>46189</v>
      </c>
      <c r="P76" s="96" t="s">
        <v>69</v>
      </c>
      <c r="Q76" s="131">
        <v>0</v>
      </c>
      <c r="R76" s="97">
        <v>0</v>
      </c>
      <c r="S76" s="97">
        <v>0</v>
      </c>
      <c r="T76" s="97">
        <v>0</v>
      </c>
      <c r="U76" s="97">
        <v>616</v>
      </c>
      <c r="V76" s="97">
        <v>0</v>
      </c>
      <c r="W76" s="97">
        <v>0</v>
      </c>
      <c r="X76" s="98">
        <f t="shared" si="2"/>
        <v>46174</v>
      </c>
    </row>
    <row r="77" spans="15:26" ht="14.25" customHeight="1">
      <c r="O77" s="95">
        <v>46189</v>
      </c>
      <c r="P77" s="96" t="s">
        <v>159</v>
      </c>
      <c r="Q77" s="131">
        <v>4</v>
      </c>
      <c r="R77" s="97">
        <v>9</v>
      </c>
      <c r="S77" s="97">
        <v>0</v>
      </c>
      <c r="T77" s="97">
        <v>14813.35</v>
      </c>
      <c r="U77" s="97">
        <v>15592.3</v>
      </c>
      <c r="V77" s="97">
        <v>0</v>
      </c>
      <c r="W77" s="97">
        <v>0</v>
      </c>
      <c r="X77" s="98">
        <f t="shared" si="2"/>
        <v>46174</v>
      </c>
    </row>
    <row r="78" spans="15:26" ht="14.25" customHeight="1">
      <c r="O78" s="95">
        <v>46189</v>
      </c>
      <c r="P78" s="96" t="s">
        <v>41</v>
      </c>
      <c r="Q78" s="131">
        <v>3</v>
      </c>
      <c r="R78" s="97">
        <v>4</v>
      </c>
      <c r="S78" s="97">
        <v>1</v>
      </c>
      <c r="T78" s="97">
        <v>32438</v>
      </c>
      <c r="U78" s="97">
        <v>31069</v>
      </c>
      <c r="V78" s="97">
        <v>0</v>
      </c>
      <c r="W78" s="97">
        <v>0</v>
      </c>
      <c r="X78" s="98">
        <f t="shared" si="2"/>
        <v>46174</v>
      </c>
    </row>
    <row r="79" spans="15:26" ht="14.25" customHeight="1">
      <c r="O79" s="95">
        <v>46189</v>
      </c>
      <c r="P79" s="96" t="s">
        <v>265</v>
      </c>
      <c r="Q79" s="131">
        <v>1</v>
      </c>
      <c r="R79" s="97">
        <v>1</v>
      </c>
      <c r="S79" s="97">
        <v>0</v>
      </c>
      <c r="T79" s="97">
        <v>0</v>
      </c>
      <c r="U79" s="97">
        <v>0</v>
      </c>
      <c r="V79" s="97">
        <v>0</v>
      </c>
      <c r="W79" s="97">
        <v>0</v>
      </c>
      <c r="X79" s="98">
        <f t="shared" si="2"/>
        <v>46174</v>
      </c>
    </row>
    <row r="80" spans="15:26" ht="14.25" customHeight="1">
      <c r="O80" s="95">
        <v>46189</v>
      </c>
      <c r="P80" s="96" t="s">
        <v>103</v>
      </c>
      <c r="Q80" s="131">
        <v>0</v>
      </c>
      <c r="R80" s="97">
        <v>0</v>
      </c>
      <c r="S80" s="97">
        <v>0</v>
      </c>
      <c r="T80" s="97">
        <v>0</v>
      </c>
      <c r="U80" s="97">
        <v>0</v>
      </c>
      <c r="V80" s="97">
        <v>0</v>
      </c>
      <c r="W80" s="97">
        <v>0</v>
      </c>
      <c r="X80" s="98">
        <f t="shared" si="2"/>
        <v>46174</v>
      </c>
    </row>
    <row r="81" spans="15:24" ht="14.25" customHeight="1">
      <c r="O81" s="95">
        <v>46189</v>
      </c>
      <c r="P81" s="96" t="s">
        <v>271</v>
      </c>
      <c r="Q81" s="131">
        <v>1</v>
      </c>
      <c r="R81" s="97">
        <v>8</v>
      </c>
      <c r="S81" s="97">
        <v>1</v>
      </c>
      <c r="T81" s="97">
        <v>17702</v>
      </c>
      <c r="U81" s="97">
        <v>0</v>
      </c>
      <c r="V81" s="97">
        <v>0</v>
      </c>
      <c r="W81" s="97">
        <v>0</v>
      </c>
      <c r="X81" s="98">
        <f t="shared" si="2"/>
        <v>46174</v>
      </c>
    </row>
    <row r="82" spans="15:24" ht="14.25" customHeight="1">
      <c r="O82" s="95">
        <v>46189</v>
      </c>
      <c r="P82" s="96" t="s">
        <v>203</v>
      </c>
      <c r="Q82" s="131">
        <v>2</v>
      </c>
      <c r="R82" s="97">
        <v>4</v>
      </c>
      <c r="S82" s="97">
        <v>0</v>
      </c>
      <c r="T82" s="97">
        <v>0</v>
      </c>
      <c r="U82" s="97">
        <v>0</v>
      </c>
      <c r="V82" s="97">
        <v>0</v>
      </c>
      <c r="W82" s="97">
        <v>0</v>
      </c>
      <c r="X82" s="98">
        <f t="shared" si="2"/>
        <v>46174</v>
      </c>
    </row>
    <row r="83" spans="15:24" ht="14.25" customHeight="1">
      <c r="O83" s="95">
        <v>46189</v>
      </c>
      <c r="P83" s="96" t="s">
        <v>80</v>
      </c>
      <c r="Q83" s="131">
        <v>5</v>
      </c>
      <c r="R83" s="97">
        <v>5</v>
      </c>
      <c r="S83" s="97">
        <v>2</v>
      </c>
      <c r="T83" s="97">
        <v>207298.4</v>
      </c>
      <c r="U83" s="97">
        <v>157203.69999999998</v>
      </c>
      <c r="V83" s="97">
        <v>0</v>
      </c>
      <c r="W83" s="97">
        <v>0</v>
      </c>
      <c r="X83" s="98">
        <f t="shared" si="2"/>
        <v>46174</v>
      </c>
    </row>
    <row r="84" spans="15:24" ht="14.25" customHeight="1">
      <c r="O84" s="95">
        <v>46189</v>
      </c>
      <c r="P84" s="96" t="s">
        <v>278</v>
      </c>
      <c r="Q84" s="131">
        <v>1</v>
      </c>
      <c r="R84" s="97">
        <v>1</v>
      </c>
      <c r="S84" s="97">
        <v>0</v>
      </c>
      <c r="T84" s="97">
        <v>0</v>
      </c>
      <c r="U84" s="97">
        <v>3625.9333333333343</v>
      </c>
      <c r="V84" s="97">
        <v>0</v>
      </c>
      <c r="W84" s="97">
        <v>0</v>
      </c>
      <c r="X84" s="98">
        <f t="shared" si="2"/>
        <v>46174</v>
      </c>
    </row>
    <row r="85" spans="15:24" ht="14.25" customHeight="1">
      <c r="O85" s="95">
        <v>46189</v>
      </c>
      <c r="P85" s="96" t="s">
        <v>34</v>
      </c>
      <c r="Q85" s="131">
        <v>2</v>
      </c>
      <c r="R85" s="97">
        <v>4</v>
      </c>
      <c r="S85" s="97">
        <v>0</v>
      </c>
      <c r="T85" s="97">
        <v>3</v>
      </c>
      <c r="U85" s="97">
        <v>0</v>
      </c>
      <c r="V85" s="97">
        <v>0</v>
      </c>
      <c r="W85" s="97">
        <v>0</v>
      </c>
      <c r="X85" s="98">
        <f t="shared" si="2"/>
        <v>46174</v>
      </c>
    </row>
    <row r="86" spans="15:24" ht="14.25" customHeight="1">
      <c r="O86" s="95">
        <v>46189</v>
      </c>
      <c r="P86" s="96" t="s">
        <v>319</v>
      </c>
      <c r="Q86" s="131">
        <v>0</v>
      </c>
      <c r="R86" s="97">
        <v>0</v>
      </c>
      <c r="S86" s="97">
        <v>0</v>
      </c>
      <c r="T86" s="97">
        <v>0</v>
      </c>
      <c r="U86" s="97">
        <v>15370.5</v>
      </c>
      <c r="V86" s="97">
        <v>0</v>
      </c>
      <c r="W86" s="97">
        <v>0</v>
      </c>
      <c r="X86" s="98">
        <f t="shared" si="2"/>
        <v>46174</v>
      </c>
    </row>
    <row r="87" spans="15:24" ht="14.25" customHeight="1">
      <c r="O87" s="95">
        <v>46189</v>
      </c>
      <c r="P87" s="96" t="s">
        <v>208</v>
      </c>
      <c r="Q87" s="131">
        <v>2</v>
      </c>
      <c r="R87" s="97">
        <v>3</v>
      </c>
      <c r="S87" s="97">
        <v>0</v>
      </c>
      <c r="T87" s="97">
        <v>0</v>
      </c>
      <c r="U87" s="97">
        <v>0</v>
      </c>
      <c r="V87" s="97">
        <v>0</v>
      </c>
      <c r="W87" s="97">
        <v>0</v>
      </c>
      <c r="X87" s="98">
        <f t="shared" si="2"/>
        <v>46174</v>
      </c>
    </row>
    <row r="88" spans="15:24" ht="14.25" customHeight="1">
      <c r="O88" s="95">
        <v>46189</v>
      </c>
      <c r="P88" s="96" t="s">
        <v>63</v>
      </c>
      <c r="Q88" s="131">
        <v>0</v>
      </c>
      <c r="R88" s="97">
        <v>0</v>
      </c>
      <c r="S88" s="97">
        <v>0</v>
      </c>
      <c r="T88" s="97">
        <v>0</v>
      </c>
      <c r="U88" s="97">
        <v>1597</v>
      </c>
      <c r="V88" s="97">
        <v>0</v>
      </c>
      <c r="W88" s="97">
        <v>0</v>
      </c>
      <c r="X88" s="98">
        <f t="shared" si="2"/>
        <v>46174</v>
      </c>
    </row>
    <row r="89" spans="15:24" ht="14.25" customHeight="1">
      <c r="O89" s="95">
        <v>46189</v>
      </c>
      <c r="P89" s="96" t="s">
        <v>284</v>
      </c>
      <c r="Q89" s="131">
        <v>5</v>
      </c>
      <c r="R89" s="97">
        <v>10</v>
      </c>
      <c r="S89" s="97">
        <v>1</v>
      </c>
      <c r="T89" s="97">
        <v>15393.7</v>
      </c>
      <c r="U89" s="97">
        <v>0</v>
      </c>
      <c r="V89" s="97">
        <v>0</v>
      </c>
      <c r="W89" s="97">
        <v>0</v>
      </c>
      <c r="X89" s="98">
        <f t="shared" si="2"/>
        <v>46174</v>
      </c>
    </row>
    <row r="90" spans="15:24" ht="14.25" customHeight="1">
      <c r="O90" s="95">
        <v>46189</v>
      </c>
      <c r="P90" s="96" t="s">
        <v>189</v>
      </c>
      <c r="Q90" s="131">
        <v>0</v>
      </c>
      <c r="R90" s="97">
        <v>0</v>
      </c>
      <c r="S90" s="97">
        <v>0</v>
      </c>
      <c r="T90" s="97">
        <v>0</v>
      </c>
      <c r="U90" s="97">
        <v>8015</v>
      </c>
      <c r="V90" s="97">
        <v>0</v>
      </c>
      <c r="W90" s="97">
        <v>0</v>
      </c>
      <c r="X90" s="98">
        <f t="shared" si="2"/>
        <v>46174</v>
      </c>
    </row>
  </sheetData>
  <pageMargins left="0.7" right="0.7" top="0.75" bottom="0.75" header="0.3" footer="0.3"/>
  <pageSetup paperSize="9" orientation="portrait" horizontalDpi="360" verticalDpi="360" r:id="rId3"/>
  <ignoredErrors>
    <ignoredError sqref="C23:J27 Q67:W90" calculatedColumn="1"/>
  </ignoredErrors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5C36-3B79-4A83-AD91-5F2BB93ACA36}">
  <sheetPr codeName="Hoja12"/>
  <dimension ref="A1:Z51"/>
  <sheetViews>
    <sheetView showGridLines="0" topLeftCell="N25" zoomScale="85" zoomScaleNormal="85" workbookViewId="0">
      <selection activeCell="P36" sqref="P36"/>
    </sheetView>
  </sheetViews>
  <sheetFormatPr baseColWidth="10" defaultRowHeight="15"/>
  <cols>
    <col min="1" max="1" width="15.85546875" style="62" customWidth="1"/>
    <col min="2" max="2" width="20.5703125" style="62" customWidth="1"/>
    <col min="3" max="3" width="13.85546875" style="62" customWidth="1"/>
    <col min="4" max="4" width="51.28515625" style="115" bestFit="1" customWidth="1"/>
    <col min="5" max="5" width="7.85546875" style="62" bestFit="1" customWidth="1"/>
    <col min="6" max="6" width="11.42578125" style="116"/>
    <col min="7" max="7" width="11.7109375" style="63" bestFit="1" customWidth="1"/>
    <col min="8" max="8" width="12.5703125" style="62" bestFit="1" customWidth="1"/>
    <col min="9" max="9" width="18.7109375" style="62" bestFit="1" customWidth="1"/>
    <col min="10" max="10" width="12" style="62" bestFit="1" customWidth="1"/>
    <col min="11" max="11" width="50.140625" style="62" bestFit="1" customWidth="1"/>
    <col min="12" max="12" width="12.42578125" style="62" bestFit="1" customWidth="1"/>
    <col min="13" max="13" width="13.42578125" style="62" bestFit="1" customWidth="1"/>
    <col min="14" max="17" width="11.42578125" style="62"/>
    <col min="18" max="18" width="18.85546875" style="62" bestFit="1" customWidth="1"/>
    <col min="19" max="19" width="14" style="62" bestFit="1" customWidth="1"/>
    <col min="20" max="20" width="79.85546875" style="62" bestFit="1" customWidth="1"/>
    <col min="21" max="21" width="16.42578125" style="116" hidden="1" customWidth="1"/>
    <col min="22" max="22" width="7.85546875" style="63" bestFit="1" customWidth="1"/>
    <col min="23" max="23" width="12.28515625" style="62" bestFit="1" customWidth="1"/>
    <col min="24" max="24" width="11.42578125" style="62"/>
    <col min="25" max="25" width="12.85546875" style="62" bestFit="1" customWidth="1"/>
    <col min="26" max="16384" width="11.42578125" style="62"/>
  </cols>
  <sheetData>
    <row r="1" spans="1:26">
      <c r="A1" s="61" t="s">
        <v>1</v>
      </c>
      <c r="B1" s="61" t="s">
        <v>16</v>
      </c>
      <c r="C1" s="61" t="s">
        <v>6</v>
      </c>
      <c r="D1" s="61" t="s">
        <v>7</v>
      </c>
      <c r="E1" s="62" t="s">
        <v>1140</v>
      </c>
      <c r="F1" s="111" t="s">
        <v>809</v>
      </c>
      <c r="G1" s="112">
        <v>17</v>
      </c>
      <c r="H1" s="113" t="s">
        <v>1</v>
      </c>
      <c r="I1" s="113" t="s">
        <v>16</v>
      </c>
      <c r="J1" s="113" t="s">
        <v>6</v>
      </c>
      <c r="K1" s="113" t="s">
        <v>7</v>
      </c>
      <c r="L1" s="113" t="s">
        <v>723</v>
      </c>
      <c r="M1" s="111" t="s">
        <v>809</v>
      </c>
      <c r="Q1" s="128" t="s">
        <v>1</v>
      </c>
      <c r="R1" s="128" t="s">
        <v>16</v>
      </c>
      <c r="S1" s="128" t="s">
        <v>6</v>
      </c>
      <c r="T1" s="128" t="s">
        <v>7</v>
      </c>
      <c r="U1" s="128" t="s">
        <v>1141</v>
      </c>
      <c r="V1" s="130" t="s">
        <v>1142</v>
      </c>
      <c r="W1" s="111" t="s">
        <v>809</v>
      </c>
    </row>
    <row r="2" spans="1:26">
      <c r="A2" s="114">
        <v>46143</v>
      </c>
      <c r="B2" s="62" t="s">
        <v>97</v>
      </c>
      <c r="C2" s="62">
        <v>20539185901</v>
      </c>
      <c r="D2" s="115" t="s">
        <v>95</v>
      </c>
      <c r="E2" s="116">
        <v>250</v>
      </c>
      <c r="F2" s="116">
        <f>(E2/$G$1)*30</f>
        <v>441.17647058823525</v>
      </c>
      <c r="H2" s="117">
        <v>46143</v>
      </c>
      <c r="I2" s="82" t="s">
        <v>80</v>
      </c>
      <c r="J2" s="62">
        <v>20612913359</v>
      </c>
      <c r="K2" s="115" t="s">
        <v>92</v>
      </c>
      <c r="L2" s="116">
        <f t="shared" ref="L2:L28" si="0">VLOOKUP(J2,C:F,3,0)</f>
        <v>72341.8</v>
      </c>
      <c r="M2" s="116">
        <f t="shared" ref="M2:M28" si="1">VLOOKUP(J2,C:F,4,0)</f>
        <v>127662.00000000001</v>
      </c>
      <c r="Q2" s="133">
        <v>46174</v>
      </c>
      <c r="R2" s="129" t="s">
        <v>218</v>
      </c>
      <c r="S2" s="129">
        <v>20615781003</v>
      </c>
      <c r="T2" s="134" t="s">
        <v>726</v>
      </c>
      <c r="U2" s="129" t="s">
        <v>947</v>
      </c>
      <c r="V2" s="135">
        <v>30491.3</v>
      </c>
      <c r="W2" s="116">
        <f>(V2/30)*30-G1</f>
        <v>30474.3</v>
      </c>
    </row>
    <row r="3" spans="1:26">
      <c r="A3" s="114">
        <v>46143</v>
      </c>
      <c r="B3" s="62" t="s">
        <v>218</v>
      </c>
      <c r="C3" s="62">
        <v>20614355221</v>
      </c>
      <c r="D3" s="115" t="s">
        <v>673</v>
      </c>
      <c r="E3" s="116">
        <v>19102.75</v>
      </c>
      <c r="F3" s="116">
        <f t="shared" ref="F3:F28" si="2">(E3/$G$1)*30</f>
        <v>33710.73529411765</v>
      </c>
      <c r="H3" s="57">
        <v>46143</v>
      </c>
      <c r="I3" s="82" t="s">
        <v>80</v>
      </c>
      <c r="J3" s="62">
        <v>20613703439</v>
      </c>
      <c r="K3" s="115" t="s">
        <v>89</v>
      </c>
      <c r="L3" s="116">
        <f t="shared" si="0"/>
        <v>70243</v>
      </c>
      <c r="M3" s="116">
        <f t="shared" si="1"/>
        <v>123958.23529411765</v>
      </c>
      <c r="Q3" s="133">
        <v>46174</v>
      </c>
      <c r="R3" s="129" t="s">
        <v>52</v>
      </c>
      <c r="S3" s="129">
        <v>10078853111</v>
      </c>
      <c r="T3" s="134" t="s">
        <v>756</v>
      </c>
      <c r="U3" s="129" t="s">
        <v>948</v>
      </c>
      <c r="V3" s="135">
        <v>14293.11</v>
      </c>
      <c r="W3" s="116">
        <v>33710.73529411765</v>
      </c>
    </row>
    <row r="4" spans="1:26">
      <c r="A4" s="114">
        <v>46143</v>
      </c>
      <c r="B4" s="62" t="s">
        <v>52</v>
      </c>
      <c r="C4" s="62">
        <v>20610935932</v>
      </c>
      <c r="D4" s="115" t="s">
        <v>50</v>
      </c>
      <c r="E4" s="116">
        <v>29023.300000000003</v>
      </c>
      <c r="F4" s="116">
        <f t="shared" si="2"/>
        <v>51217.588235294126</v>
      </c>
      <c r="H4" s="57">
        <v>46143</v>
      </c>
      <c r="I4" s="82" t="s">
        <v>86</v>
      </c>
      <c r="J4" s="62">
        <v>20613702629</v>
      </c>
      <c r="K4" s="115" t="s">
        <v>616</v>
      </c>
      <c r="L4" s="116">
        <f t="shared" si="0"/>
        <v>84788.07</v>
      </c>
      <c r="M4" s="116">
        <f t="shared" si="1"/>
        <v>149626.00588235294</v>
      </c>
      <c r="Q4" s="133">
        <v>46174</v>
      </c>
      <c r="R4" s="129" t="s">
        <v>52</v>
      </c>
      <c r="S4" s="129">
        <v>20319956043</v>
      </c>
      <c r="T4" s="134" t="s">
        <v>559</v>
      </c>
      <c r="U4" s="129" t="s">
        <v>949</v>
      </c>
      <c r="V4" s="135">
        <v>0</v>
      </c>
      <c r="W4" s="116">
        <v>51217.588235294126</v>
      </c>
    </row>
    <row r="5" spans="1:26">
      <c r="A5" s="114">
        <v>46143</v>
      </c>
      <c r="B5" s="62" t="s">
        <v>253</v>
      </c>
      <c r="C5" s="62">
        <v>20611402555</v>
      </c>
      <c r="D5" s="115" t="s">
        <v>108</v>
      </c>
      <c r="E5" s="116">
        <v>4585</v>
      </c>
      <c r="F5" s="116">
        <f t="shared" si="2"/>
        <v>8091.1764705882351</v>
      </c>
      <c r="H5" s="57">
        <v>46143</v>
      </c>
      <c r="I5" s="82" t="s">
        <v>41</v>
      </c>
      <c r="J5" s="62">
        <v>20533799401</v>
      </c>
      <c r="K5" s="115" t="s">
        <v>39</v>
      </c>
      <c r="L5" s="116">
        <f t="shared" si="0"/>
        <v>31668</v>
      </c>
      <c r="M5" s="116">
        <f t="shared" si="1"/>
        <v>55884.705882352937</v>
      </c>
      <c r="Q5" s="133">
        <v>46174</v>
      </c>
      <c r="R5" s="129" t="s">
        <v>52</v>
      </c>
      <c r="S5" s="129">
        <v>20611450746</v>
      </c>
      <c r="T5" s="134" t="s">
        <v>769</v>
      </c>
      <c r="U5" s="129" t="s">
        <v>859</v>
      </c>
      <c r="V5" s="135">
        <v>0</v>
      </c>
      <c r="W5" s="116">
        <v>8091.1764705882351</v>
      </c>
      <c r="Y5" s="62" t="s">
        <v>884</v>
      </c>
      <c r="Z5" s="62">
        <f>COUNTIF(V:V,"=0")</f>
        <v>27</v>
      </c>
    </row>
    <row r="6" spans="1:26">
      <c r="A6" s="114">
        <v>46143</v>
      </c>
      <c r="B6" s="62" t="s">
        <v>258</v>
      </c>
      <c r="C6" s="62">
        <v>10164731435</v>
      </c>
      <c r="D6" s="115" t="s">
        <v>550</v>
      </c>
      <c r="E6" s="116">
        <v>800</v>
      </c>
      <c r="F6" s="116">
        <f t="shared" si="2"/>
        <v>1411.7647058823532</v>
      </c>
      <c r="H6" s="57">
        <v>46143</v>
      </c>
      <c r="I6" s="82" t="s">
        <v>47</v>
      </c>
      <c r="J6" s="62">
        <v>20612897949</v>
      </c>
      <c r="K6" s="115" t="s">
        <v>45</v>
      </c>
      <c r="L6" s="116">
        <f t="shared" si="0"/>
        <v>27810</v>
      </c>
      <c r="M6" s="116">
        <f t="shared" si="1"/>
        <v>49076.470588235301</v>
      </c>
      <c r="Q6" s="133">
        <v>46174</v>
      </c>
      <c r="R6" s="129" t="s">
        <v>52</v>
      </c>
      <c r="S6" s="129">
        <v>20615004899</v>
      </c>
      <c r="T6" s="134" t="s">
        <v>778</v>
      </c>
      <c r="U6" s="129" t="s">
        <v>859</v>
      </c>
      <c r="V6" s="135">
        <v>0</v>
      </c>
      <c r="W6" s="116">
        <v>1411.7647058823532</v>
      </c>
    </row>
    <row r="7" spans="1:26">
      <c r="A7" s="114">
        <v>46143</v>
      </c>
      <c r="B7" s="62" t="s">
        <v>74</v>
      </c>
      <c r="C7" s="62">
        <v>20614514338</v>
      </c>
      <c r="D7" s="115" t="s">
        <v>72</v>
      </c>
      <c r="E7" s="116">
        <v>27051</v>
      </c>
      <c r="F7" s="116">
        <f t="shared" si="2"/>
        <v>47737.058823529413</v>
      </c>
      <c r="H7" s="57">
        <v>46143</v>
      </c>
      <c r="I7" s="82" t="s">
        <v>218</v>
      </c>
      <c r="J7" s="62">
        <v>20614355221</v>
      </c>
      <c r="K7" s="115" t="s">
        <v>673</v>
      </c>
      <c r="L7" s="116">
        <f t="shared" si="0"/>
        <v>19102.75</v>
      </c>
      <c r="M7" s="116">
        <f t="shared" si="1"/>
        <v>33710.73529411765</v>
      </c>
      <c r="Q7" s="133">
        <v>46174</v>
      </c>
      <c r="R7" s="129" t="s">
        <v>52</v>
      </c>
      <c r="S7" s="129">
        <v>20601315603</v>
      </c>
      <c r="T7" s="134" t="s">
        <v>865</v>
      </c>
      <c r="U7" s="129"/>
      <c r="V7" s="135">
        <v>0</v>
      </c>
      <c r="W7" s="116">
        <v>47737.058823529413</v>
      </c>
    </row>
    <row r="8" spans="1:26">
      <c r="A8" s="114">
        <v>46143</v>
      </c>
      <c r="B8" s="62" t="s">
        <v>151</v>
      </c>
      <c r="C8" s="62">
        <v>20611972246</v>
      </c>
      <c r="D8" s="115" t="s">
        <v>555</v>
      </c>
      <c r="E8" s="116">
        <v>0</v>
      </c>
      <c r="F8" s="116">
        <f t="shared" si="2"/>
        <v>0</v>
      </c>
      <c r="H8" s="57">
        <v>46143</v>
      </c>
      <c r="I8" s="82" t="s">
        <v>52</v>
      </c>
      <c r="J8" s="62">
        <v>20610935932</v>
      </c>
      <c r="K8" s="115" t="s">
        <v>50</v>
      </c>
      <c r="L8" s="116">
        <f t="shared" si="0"/>
        <v>29023.300000000003</v>
      </c>
      <c r="M8" s="116">
        <f t="shared" si="1"/>
        <v>51217.588235294126</v>
      </c>
      <c r="Q8" s="133">
        <v>46174</v>
      </c>
      <c r="R8" s="129" t="s">
        <v>52</v>
      </c>
      <c r="S8" s="129">
        <v>20601929351</v>
      </c>
      <c r="T8" s="134" t="s">
        <v>914</v>
      </c>
      <c r="U8" s="129"/>
      <c r="V8" s="135">
        <v>0</v>
      </c>
      <c r="W8" s="116">
        <v>0</v>
      </c>
    </row>
    <row r="9" spans="1:26">
      <c r="A9" s="114">
        <v>46143</v>
      </c>
      <c r="B9" s="62" t="s">
        <v>86</v>
      </c>
      <c r="C9" s="62">
        <v>20613702629</v>
      </c>
      <c r="D9" s="115" t="s">
        <v>616</v>
      </c>
      <c r="E9" s="116">
        <v>84788.07</v>
      </c>
      <c r="F9" s="116">
        <f t="shared" si="2"/>
        <v>149626.00588235294</v>
      </c>
      <c r="H9" s="57">
        <v>46143</v>
      </c>
      <c r="I9" s="82" t="s">
        <v>74</v>
      </c>
      <c r="J9" s="62">
        <v>20614514338</v>
      </c>
      <c r="K9" s="115" t="s">
        <v>72</v>
      </c>
      <c r="L9" s="116">
        <f t="shared" si="0"/>
        <v>27051</v>
      </c>
      <c r="M9" s="116">
        <f t="shared" si="1"/>
        <v>47737.058823529413</v>
      </c>
      <c r="Q9" s="133">
        <v>46174</v>
      </c>
      <c r="R9" s="129" t="s">
        <v>52</v>
      </c>
      <c r="S9" s="129">
        <v>20560121921</v>
      </c>
      <c r="T9" s="134" t="s">
        <v>1179</v>
      </c>
      <c r="U9" s="129" t="s">
        <v>859</v>
      </c>
      <c r="V9" s="135">
        <v>0</v>
      </c>
      <c r="W9" s="116">
        <v>149626.00588235294</v>
      </c>
    </row>
    <row r="10" spans="1:26">
      <c r="A10" s="114">
        <v>46143</v>
      </c>
      <c r="B10" s="62" t="s">
        <v>86</v>
      </c>
      <c r="C10" s="62">
        <v>20615727165</v>
      </c>
      <c r="D10" s="115" t="s">
        <v>84</v>
      </c>
      <c r="E10" s="116">
        <v>7190</v>
      </c>
      <c r="F10" s="116">
        <f t="shared" si="2"/>
        <v>12688.235294117647</v>
      </c>
      <c r="H10" s="57">
        <v>46143</v>
      </c>
      <c r="I10" s="82" t="s">
        <v>80</v>
      </c>
      <c r="J10" s="62">
        <v>20612598780</v>
      </c>
      <c r="K10" s="115" t="s">
        <v>78</v>
      </c>
      <c r="L10" s="116">
        <f t="shared" si="0"/>
        <v>21944.9</v>
      </c>
      <c r="M10" s="116">
        <f t="shared" si="1"/>
        <v>38726.294117647063</v>
      </c>
      <c r="Q10" s="133">
        <v>46174</v>
      </c>
      <c r="R10" s="129" t="s">
        <v>247</v>
      </c>
      <c r="S10" s="129">
        <v>20608135651</v>
      </c>
      <c r="T10" s="134" t="s">
        <v>1160</v>
      </c>
      <c r="U10" s="129" t="s">
        <v>859</v>
      </c>
      <c r="V10" s="135">
        <v>0</v>
      </c>
      <c r="W10" s="116">
        <v>12688.235294117647</v>
      </c>
    </row>
    <row r="11" spans="1:26">
      <c r="A11" s="114">
        <v>46143</v>
      </c>
      <c r="B11" s="62" t="s">
        <v>47</v>
      </c>
      <c r="C11" s="62">
        <v>20608874055</v>
      </c>
      <c r="D11" s="115" t="s">
        <v>563</v>
      </c>
      <c r="E11" s="116">
        <v>0</v>
      </c>
      <c r="F11" s="116">
        <f t="shared" si="2"/>
        <v>0</v>
      </c>
      <c r="H11" s="57">
        <v>46143</v>
      </c>
      <c r="I11" s="82" t="s">
        <v>159</v>
      </c>
      <c r="J11" s="62">
        <v>10477313928</v>
      </c>
      <c r="K11" s="115" t="s">
        <v>631</v>
      </c>
      <c r="L11" s="116">
        <f t="shared" si="0"/>
        <v>16433.87</v>
      </c>
      <c r="M11" s="116">
        <f t="shared" si="1"/>
        <v>29000.947058823527</v>
      </c>
      <c r="Q11" s="133">
        <v>46174</v>
      </c>
      <c r="R11" s="129" t="s">
        <v>74</v>
      </c>
      <c r="S11" s="129">
        <v>20614514338</v>
      </c>
      <c r="T11" s="134" t="s">
        <v>72</v>
      </c>
      <c r="U11" s="129" t="s">
        <v>950</v>
      </c>
      <c r="V11" s="135">
        <v>38363.75</v>
      </c>
      <c r="W11" s="116">
        <v>0</v>
      </c>
    </row>
    <row r="12" spans="1:26">
      <c r="A12" s="114">
        <v>46143</v>
      </c>
      <c r="B12" s="62" t="s">
        <v>47</v>
      </c>
      <c r="C12" s="62">
        <v>20612897949</v>
      </c>
      <c r="D12" s="115" t="s">
        <v>45</v>
      </c>
      <c r="E12" s="116">
        <v>27810</v>
      </c>
      <c r="F12" s="116">
        <f t="shared" si="2"/>
        <v>49076.470588235301</v>
      </c>
      <c r="H12" s="57">
        <v>46143</v>
      </c>
      <c r="I12" s="82" t="s">
        <v>319</v>
      </c>
      <c r="J12" s="62">
        <v>20611895110</v>
      </c>
      <c r="K12" s="115" t="s">
        <v>613</v>
      </c>
      <c r="L12" s="116">
        <f t="shared" si="0"/>
        <v>16903.2</v>
      </c>
      <c r="M12" s="116">
        <f t="shared" si="1"/>
        <v>29829.176470588238</v>
      </c>
      <c r="Q12" s="133">
        <v>46174</v>
      </c>
      <c r="R12" s="129" t="s">
        <v>74</v>
      </c>
      <c r="S12" s="129">
        <v>20605844058</v>
      </c>
      <c r="T12" s="134" t="s">
        <v>764</v>
      </c>
      <c r="U12" s="129" t="s">
        <v>951</v>
      </c>
      <c r="V12" s="135">
        <v>4056</v>
      </c>
      <c r="W12" s="116">
        <v>49076.470588235301</v>
      </c>
    </row>
    <row r="13" spans="1:26">
      <c r="A13" s="114">
        <v>46143</v>
      </c>
      <c r="B13" s="62" t="s">
        <v>47</v>
      </c>
      <c r="C13" s="62">
        <v>20615080901</v>
      </c>
      <c r="D13" s="115" t="s">
        <v>557</v>
      </c>
      <c r="E13" s="116">
        <v>458.4</v>
      </c>
      <c r="F13" s="116">
        <f t="shared" si="2"/>
        <v>808.94117647058829</v>
      </c>
      <c r="H13" s="57">
        <v>46143</v>
      </c>
      <c r="I13" s="82" t="s">
        <v>86</v>
      </c>
      <c r="J13" s="62">
        <v>20615727165</v>
      </c>
      <c r="K13" s="115" t="s">
        <v>84</v>
      </c>
      <c r="L13" s="116">
        <f t="shared" si="0"/>
        <v>7190</v>
      </c>
      <c r="M13" s="116">
        <f t="shared" si="1"/>
        <v>12688.235294117647</v>
      </c>
      <c r="Q13" s="133">
        <v>46174</v>
      </c>
      <c r="R13" s="129" t="s">
        <v>86</v>
      </c>
      <c r="S13" s="129">
        <v>20615813410</v>
      </c>
      <c r="T13" s="134" t="s">
        <v>878</v>
      </c>
      <c r="U13" s="129" t="s">
        <v>859</v>
      </c>
      <c r="V13" s="135">
        <v>0</v>
      </c>
      <c r="W13" s="116">
        <v>808.94117647058829</v>
      </c>
    </row>
    <row r="14" spans="1:26">
      <c r="A14" s="114">
        <v>46143</v>
      </c>
      <c r="B14" s="62" t="s">
        <v>69</v>
      </c>
      <c r="C14" s="62">
        <v>10413980076</v>
      </c>
      <c r="D14" s="115" t="s">
        <v>67</v>
      </c>
      <c r="E14" s="116">
        <v>976</v>
      </c>
      <c r="F14" s="116">
        <f t="shared" si="2"/>
        <v>1722.3529411764707</v>
      </c>
      <c r="H14" s="57">
        <v>46143</v>
      </c>
      <c r="I14" s="82" t="s">
        <v>253</v>
      </c>
      <c r="J14" s="62">
        <v>20611402555</v>
      </c>
      <c r="K14" s="115" t="s">
        <v>108</v>
      </c>
      <c r="L14" s="116">
        <f t="shared" si="0"/>
        <v>4585</v>
      </c>
      <c r="M14" s="116">
        <f t="shared" si="1"/>
        <v>8091.1764705882351</v>
      </c>
      <c r="Q14" s="133">
        <v>46174</v>
      </c>
      <c r="R14" s="129" t="s">
        <v>86</v>
      </c>
      <c r="S14" s="129">
        <v>20613702629</v>
      </c>
      <c r="T14" s="134" t="s">
        <v>616</v>
      </c>
      <c r="U14" s="129"/>
      <c r="V14" s="135">
        <v>0</v>
      </c>
      <c r="W14" s="116">
        <v>1722.3529411764707</v>
      </c>
    </row>
    <row r="15" spans="1:26">
      <c r="A15" s="114">
        <v>46143</v>
      </c>
      <c r="B15" s="62" t="s">
        <v>159</v>
      </c>
      <c r="C15" s="62">
        <v>10477313928</v>
      </c>
      <c r="D15" s="115" t="s">
        <v>631</v>
      </c>
      <c r="E15" s="116">
        <v>16433.87</v>
      </c>
      <c r="F15" s="116">
        <f t="shared" si="2"/>
        <v>29000.947058823527</v>
      </c>
      <c r="H15" s="57">
        <v>46143</v>
      </c>
      <c r="I15" s="82" t="s">
        <v>63</v>
      </c>
      <c r="J15" s="62">
        <v>20615538222</v>
      </c>
      <c r="K15" s="115" t="s">
        <v>61</v>
      </c>
      <c r="L15" s="116">
        <f t="shared" si="0"/>
        <v>1000</v>
      </c>
      <c r="M15" s="116">
        <f t="shared" si="1"/>
        <v>1764.705882352941</v>
      </c>
      <c r="Q15" s="133">
        <v>46174</v>
      </c>
      <c r="R15" s="129" t="s">
        <v>47</v>
      </c>
      <c r="S15" s="129">
        <v>20172065598</v>
      </c>
      <c r="T15" s="134" t="s">
        <v>783</v>
      </c>
      <c r="U15" s="129" t="s">
        <v>859</v>
      </c>
      <c r="V15" s="135">
        <v>0</v>
      </c>
      <c r="W15" s="116">
        <v>29000.947058823527</v>
      </c>
    </row>
    <row r="16" spans="1:26">
      <c r="A16" s="114">
        <v>46143</v>
      </c>
      <c r="B16" s="62" t="s">
        <v>41</v>
      </c>
      <c r="C16" s="62">
        <v>20533799401</v>
      </c>
      <c r="D16" s="115" t="s">
        <v>39</v>
      </c>
      <c r="E16" s="116">
        <v>31668</v>
      </c>
      <c r="F16" s="116">
        <f t="shared" si="2"/>
        <v>55884.705882352937</v>
      </c>
      <c r="H16" s="117">
        <v>46143</v>
      </c>
      <c r="I16" s="82" t="s">
        <v>63</v>
      </c>
      <c r="J16" s="62">
        <v>20603692421</v>
      </c>
      <c r="K16" s="115" t="s">
        <v>608</v>
      </c>
      <c r="L16" s="116">
        <f t="shared" si="0"/>
        <v>597</v>
      </c>
      <c r="M16" s="116">
        <f t="shared" si="1"/>
        <v>1053.5294117647059</v>
      </c>
      <c r="Q16" s="133">
        <v>46174</v>
      </c>
      <c r="R16" s="129" t="s">
        <v>47</v>
      </c>
      <c r="S16" s="129">
        <v>20605346392</v>
      </c>
      <c r="T16" s="134" t="s">
        <v>811</v>
      </c>
      <c r="U16" s="129" t="s">
        <v>953</v>
      </c>
      <c r="V16" s="135">
        <v>314331.77999999997</v>
      </c>
      <c r="W16" s="116">
        <v>55884.705882352937</v>
      </c>
    </row>
    <row r="17" spans="1:23">
      <c r="A17" s="114">
        <v>46143</v>
      </c>
      <c r="B17" s="62" t="s">
        <v>265</v>
      </c>
      <c r="C17" s="62">
        <v>10718173561</v>
      </c>
      <c r="D17" s="115" t="s">
        <v>553</v>
      </c>
      <c r="E17" s="116">
        <v>0</v>
      </c>
      <c r="F17" s="116">
        <f t="shared" si="2"/>
        <v>0</v>
      </c>
      <c r="H17" s="57">
        <v>46143</v>
      </c>
      <c r="I17" s="82" t="s">
        <v>278</v>
      </c>
      <c r="J17" s="62">
        <v>20611374420</v>
      </c>
      <c r="K17" s="115" t="s">
        <v>628</v>
      </c>
      <c r="L17" s="116">
        <f t="shared" si="0"/>
        <v>1721.5</v>
      </c>
      <c r="M17" s="116">
        <f t="shared" si="1"/>
        <v>3037.9411764705883</v>
      </c>
      <c r="Q17" s="133">
        <v>46174</v>
      </c>
      <c r="R17" s="129" t="s">
        <v>47</v>
      </c>
      <c r="S17" s="129">
        <v>20605346392</v>
      </c>
      <c r="T17" s="134" t="s">
        <v>811</v>
      </c>
      <c r="U17" s="129" t="s">
        <v>952</v>
      </c>
      <c r="V17" s="135">
        <v>62287.140000000007</v>
      </c>
      <c r="W17" s="116">
        <v>0</v>
      </c>
    </row>
    <row r="18" spans="1:23">
      <c r="A18" s="114">
        <v>46143</v>
      </c>
      <c r="B18" s="62" t="s">
        <v>103</v>
      </c>
      <c r="C18" s="62">
        <v>20611563435</v>
      </c>
      <c r="D18" s="115" t="s">
        <v>101</v>
      </c>
      <c r="E18" s="116">
        <v>0</v>
      </c>
      <c r="F18" s="116">
        <f t="shared" si="2"/>
        <v>0</v>
      </c>
      <c r="H18" s="57">
        <v>46143</v>
      </c>
      <c r="I18" s="82" t="s">
        <v>47</v>
      </c>
      <c r="J18" s="62">
        <v>20615080901</v>
      </c>
      <c r="K18" s="115" t="s">
        <v>557</v>
      </c>
      <c r="L18" s="116">
        <f t="shared" si="0"/>
        <v>458.4</v>
      </c>
      <c r="M18" s="116">
        <f t="shared" si="1"/>
        <v>808.94117647058829</v>
      </c>
      <c r="Q18" s="133">
        <v>46174</v>
      </c>
      <c r="R18" s="129" t="s">
        <v>47</v>
      </c>
      <c r="S18" s="129">
        <v>20612931951</v>
      </c>
      <c r="T18" s="134" t="s">
        <v>903</v>
      </c>
      <c r="U18" s="129" t="s">
        <v>951</v>
      </c>
      <c r="V18" s="135">
        <v>9236.65</v>
      </c>
      <c r="W18" s="116">
        <v>0</v>
      </c>
    </row>
    <row r="19" spans="1:23">
      <c r="A19" s="114">
        <v>46143</v>
      </c>
      <c r="B19" s="62" t="s">
        <v>80</v>
      </c>
      <c r="C19" s="62">
        <v>20612598780</v>
      </c>
      <c r="D19" s="115" t="s">
        <v>78</v>
      </c>
      <c r="E19" s="116">
        <v>21944.9</v>
      </c>
      <c r="F19" s="116">
        <f t="shared" si="2"/>
        <v>38726.294117647063</v>
      </c>
      <c r="H19" s="57">
        <v>46143</v>
      </c>
      <c r="I19" s="82" t="s">
        <v>97</v>
      </c>
      <c r="J19" s="62">
        <v>20539185901</v>
      </c>
      <c r="K19" s="115" t="s">
        <v>95</v>
      </c>
      <c r="L19" s="116">
        <f t="shared" si="0"/>
        <v>250</v>
      </c>
      <c r="M19" s="116">
        <f t="shared" si="1"/>
        <v>441.17647058823525</v>
      </c>
      <c r="Q19" s="133">
        <v>46174</v>
      </c>
      <c r="R19" s="129" t="s">
        <v>47</v>
      </c>
      <c r="S19" s="129">
        <v>20614969564</v>
      </c>
      <c r="T19" s="134" t="s">
        <v>1177</v>
      </c>
      <c r="U19" s="129" t="s">
        <v>1181</v>
      </c>
      <c r="V19" s="135">
        <v>0</v>
      </c>
      <c r="W19" s="116">
        <v>38726.294117647063</v>
      </c>
    </row>
    <row r="20" spans="1:23">
      <c r="A20" s="114">
        <v>46143</v>
      </c>
      <c r="B20" s="62" t="s">
        <v>80</v>
      </c>
      <c r="C20" s="62">
        <v>20612913359</v>
      </c>
      <c r="D20" s="115" t="s">
        <v>92</v>
      </c>
      <c r="E20" s="116">
        <v>72341.8</v>
      </c>
      <c r="F20" s="116">
        <f t="shared" si="2"/>
        <v>127662.00000000001</v>
      </c>
      <c r="H20" s="57">
        <v>46143</v>
      </c>
      <c r="I20" s="82" t="s">
        <v>69</v>
      </c>
      <c r="J20" s="62">
        <v>10413980076</v>
      </c>
      <c r="K20" s="115" t="s">
        <v>67</v>
      </c>
      <c r="L20" s="116">
        <f t="shared" si="0"/>
        <v>976</v>
      </c>
      <c r="M20" s="116">
        <f t="shared" si="1"/>
        <v>1722.3529411764707</v>
      </c>
      <c r="Q20" s="133">
        <v>46174</v>
      </c>
      <c r="R20" s="129" t="s">
        <v>69</v>
      </c>
      <c r="S20" s="129">
        <v>20616038771</v>
      </c>
      <c r="T20" s="134" t="s">
        <v>1166</v>
      </c>
      <c r="U20" s="129" t="s">
        <v>859</v>
      </c>
      <c r="V20" s="135">
        <v>0</v>
      </c>
      <c r="W20" s="116">
        <v>127662.00000000001</v>
      </c>
    </row>
    <row r="21" spans="1:23">
      <c r="A21" s="114">
        <v>46143</v>
      </c>
      <c r="B21" s="62" t="s">
        <v>80</v>
      </c>
      <c r="C21" s="62">
        <v>20613703439</v>
      </c>
      <c r="D21" s="115" t="s">
        <v>89</v>
      </c>
      <c r="E21" s="116">
        <v>70243</v>
      </c>
      <c r="F21" s="116">
        <f t="shared" si="2"/>
        <v>123958.23529411765</v>
      </c>
      <c r="H21" s="57">
        <v>46143</v>
      </c>
      <c r="I21" s="82" t="s">
        <v>258</v>
      </c>
      <c r="J21" s="62">
        <v>10164731435</v>
      </c>
      <c r="K21" s="115" t="s">
        <v>550</v>
      </c>
      <c r="L21" s="116">
        <f t="shared" si="0"/>
        <v>800</v>
      </c>
      <c r="M21" s="116">
        <f t="shared" si="1"/>
        <v>1411.7647058823532</v>
      </c>
      <c r="Q21" s="133">
        <v>46174</v>
      </c>
      <c r="R21" s="129" t="s">
        <v>159</v>
      </c>
      <c r="S21" s="129">
        <v>20612526291</v>
      </c>
      <c r="T21" s="134" t="s">
        <v>871</v>
      </c>
      <c r="U21" s="129" t="s">
        <v>949</v>
      </c>
      <c r="V21" s="135">
        <v>0</v>
      </c>
      <c r="W21" s="116">
        <v>123958.23529411765</v>
      </c>
    </row>
    <row r="22" spans="1:23">
      <c r="A22" s="114">
        <v>46143</v>
      </c>
      <c r="B22" s="62" t="s">
        <v>278</v>
      </c>
      <c r="C22" s="62">
        <v>20604305102</v>
      </c>
      <c r="D22" s="115" t="s">
        <v>605</v>
      </c>
      <c r="E22" s="116">
        <v>2961.4333333333338</v>
      </c>
      <c r="F22" s="116">
        <f t="shared" si="2"/>
        <v>5226.0588235294126</v>
      </c>
      <c r="H22" s="57">
        <v>46143</v>
      </c>
      <c r="I22" s="82" t="s">
        <v>151</v>
      </c>
      <c r="J22" s="62">
        <v>20611972246</v>
      </c>
      <c r="K22" s="115" t="s">
        <v>555</v>
      </c>
      <c r="L22" s="116">
        <f t="shared" si="0"/>
        <v>0</v>
      </c>
      <c r="M22" s="116">
        <f t="shared" si="1"/>
        <v>0</v>
      </c>
      <c r="Q22" s="133">
        <v>46174</v>
      </c>
      <c r="R22" s="129" t="s">
        <v>159</v>
      </c>
      <c r="S22" s="129">
        <v>20614733765</v>
      </c>
      <c r="T22" s="134" t="s">
        <v>868</v>
      </c>
      <c r="U22" s="129" t="s">
        <v>954</v>
      </c>
      <c r="V22" s="135">
        <v>0</v>
      </c>
      <c r="W22" s="116">
        <v>5226.0588235294126</v>
      </c>
    </row>
    <row r="23" spans="1:23">
      <c r="A23" s="114">
        <v>46143</v>
      </c>
      <c r="B23" s="62" t="s">
        <v>278</v>
      </c>
      <c r="C23" s="62">
        <v>20611374420</v>
      </c>
      <c r="D23" s="115" t="s">
        <v>628</v>
      </c>
      <c r="E23" s="116">
        <v>1721.5</v>
      </c>
      <c r="F23" s="116">
        <f t="shared" si="2"/>
        <v>3037.9411764705883</v>
      </c>
      <c r="H23" s="57">
        <v>46143</v>
      </c>
      <c r="I23" s="82" t="s">
        <v>47</v>
      </c>
      <c r="J23" s="62">
        <v>20608874055</v>
      </c>
      <c r="K23" s="115" t="s">
        <v>563</v>
      </c>
      <c r="L23" s="116">
        <f t="shared" si="0"/>
        <v>0</v>
      </c>
      <c r="M23" s="116">
        <f t="shared" si="1"/>
        <v>0</v>
      </c>
      <c r="Q23" s="133">
        <v>46174</v>
      </c>
      <c r="R23" s="129" t="s">
        <v>159</v>
      </c>
      <c r="S23" s="129">
        <v>20569332801</v>
      </c>
      <c r="T23" s="134" t="s">
        <v>912</v>
      </c>
      <c r="U23" s="129" t="s">
        <v>859</v>
      </c>
      <c r="V23" s="135">
        <v>2</v>
      </c>
      <c r="W23" s="116">
        <v>3037.9411764705883</v>
      </c>
    </row>
    <row r="24" spans="1:23">
      <c r="A24" s="114">
        <v>46143</v>
      </c>
      <c r="B24" s="62" t="s">
        <v>34</v>
      </c>
      <c r="C24" s="62">
        <v>10424714441</v>
      </c>
      <c r="D24" s="115" t="s">
        <v>31</v>
      </c>
      <c r="E24" s="116">
        <v>0</v>
      </c>
      <c r="F24" s="116">
        <f t="shared" si="2"/>
        <v>0</v>
      </c>
      <c r="H24" s="57">
        <v>46143</v>
      </c>
      <c r="I24" s="82" t="s">
        <v>265</v>
      </c>
      <c r="J24" s="62">
        <v>10718173561</v>
      </c>
      <c r="K24" s="115" t="s">
        <v>553</v>
      </c>
      <c r="L24" s="116">
        <f t="shared" si="0"/>
        <v>0</v>
      </c>
      <c r="M24" s="116">
        <f t="shared" si="1"/>
        <v>0</v>
      </c>
      <c r="Q24" s="133">
        <v>46174</v>
      </c>
      <c r="R24" s="129" t="s">
        <v>159</v>
      </c>
      <c r="S24" s="129">
        <v>20600548663</v>
      </c>
      <c r="T24" s="134" t="s">
        <v>890</v>
      </c>
      <c r="U24" s="129" t="s">
        <v>859</v>
      </c>
      <c r="V24" s="135">
        <v>16002.45</v>
      </c>
      <c r="W24" s="116">
        <v>0</v>
      </c>
    </row>
    <row r="25" spans="1:23">
      <c r="A25" s="114">
        <v>46143</v>
      </c>
      <c r="B25" s="62" t="s">
        <v>319</v>
      </c>
      <c r="C25" s="62">
        <v>20611895110</v>
      </c>
      <c r="D25" s="115" t="s">
        <v>613</v>
      </c>
      <c r="E25" s="116">
        <v>16903.2</v>
      </c>
      <c r="F25" s="116">
        <f t="shared" si="2"/>
        <v>29829.176470588238</v>
      </c>
      <c r="H25" s="57">
        <v>46143</v>
      </c>
      <c r="I25" s="82" t="s">
        <v>103</v>
      </c>
      <c r="J25" s="62">
        <v>20611563435</v>
      </c>
      <c r="K25" s="115" t="s">
        <v>101</v>
      </c>
      <c r="L25" s="116">
        <f t="shared" si="0"/>
        <v>0</v>
      </c>
      <c r="M25" s="116">
        <f t="shared" si="1"/>
        <v>0</v>
      </c>
      <c r="Q25" s="133">
        <v>46174</v>
      </c>
      <c r="R25" s="129" t="s">
        <v>41</v>
      </c>
      <c r="S25" s="129">
        <v>20509678244</v>
      </c>
      <c r="T25" s="134" t="s">
        <v>702</v>
      </c>
      <c r="U25" s="129" t="s">
        <v>955</v>
      </c>
      <c r="V25" s="135">
        <v>37430</v>
      </c>
      <c r="W25" s="116">
        <v>29829.176470588238</v>
      </c>
    </row>
    <row r="26" spans="1:23">
      <c r="A26" s="114">
        <v>46143</v>
      </c>
      <c r="B26" s="62" t="s">
        <v>63</v>
      </c>
      <c r="C26" s="62">
        <v>20603692421</v>
      </c>
      <c r="D26" s="115" t="s">
        <v>608</v>
      </c>
      <c r="E26" s="116">
        <v>597</v>
      </c>
      <c r="F26" s="116">
        <f t="shared" si="2"/>
        <v>1053.5294117647059</v>
      </c>
      <c r="H26" s="57">
        <v>46143</v>
      </c>
      <c r="I26" s="82" t="s">
        <v>278</v>
      </c>
      <c r="J26" s="62">
        <v>20604305102</v>
      </c>
      <c r="K26" s="115" t="s">
        <v>605</v>
      </c>
      <c r="L26" s="116">
        <f t="shared" si="0"/>
        <v>2961.4333333333338</v>
      </c>
      <c r="M26" s="116">
        <f t="shared" si="1"/>
        <v>5226.0588235294126</v>
      </c>
      <c r="Q26" s="133">
        <v>46174</v>
      </c>
      <c r="R26" s="129" t="s">
        <v>41</v>
      </c>
      <c r="S26" s="129">
        <v>10450078323</v>
      </c>
      <c r="T26" s="134" t="s">
        <v>918</v>
      </c>
      <c r="U26" s="129" t="s">
        <v>859</v>
      </c>
      <c r="V26" s="135">
        <v>0</v>
      </c>
      <c r="W26" s="116">
        <v>1053.5294117647059</v>
      </c>
    </row>
    <row r="27" spans="1:23">
      <c r="A27" s="114">
        <v>46143</v>
      </c>
      <c r="B27" s="62" t="s">
        <v>63</v>
      </c>
      <c r="C27" s="62">
        <v>20615538222</v>
      </c>
      <c r="D27" s="115" t="s">
        <v>61</v>
      </c>
      <c r="E27" s="116">
        <v>1000</v>
      </c>
      <c r="F27" s="116">
        <f t="shared" si="2"/>
        <v>1764.705882352941</v>
      </c>
      <c r="H27" s="57">
        <v>46143</v>
      </c>
      <c r="I27" s="82" t="s">
        <v>34</v>
      </c>
      <c r="J27" s="62">
        <v>10424714441</v>
      </c>
      <c r="K27" s="115" t="s">
        <v>31</v>
      </c>
      <c r="L27" s="116">
        <f t="shared" si="0"/>
        <v>0</v>
      </c>
      <c r="M27" s="116">
        <f t="shared" si="1"/>
        <v>0</v>
      </c>
      <c r="Q27" s="133">
        <v>46174</v>
      </c>
      <c r="R27" s="129" t="s">
        <v>41</v>
      </c>
      <c r="S27" s="129">
        <v>10707664733</v>
      </c>
      <c r="T27" s="134" t="s">
        <v>899</v>
      </c>
      <c r="U27" s="129" t="s">
        <v>954</v>
      </c>
      <c r="V27" s="135">
        <v>4809</v>
      </c>
      <c r="W27" s="116">
        <v>1764.705882352941</v>
      </c>
    </row>
    <row r="28" spans="1:23">
      <c r="A28" s="114">
        <v>46143</v>
      </c>
      <c r="B28" s="62" t="s">
        <v>189</v>
      </c>
      <c r="C28" s="62">
        <v>20607818526</v>
      </c>
      <c r="D28" s="115" t="s">
        <v>625</v>
      </c>
      <c r="E28" s="116">
        <v>8015</v>
      </c>
      <c r="F28" s="116">
        <f t="shared" si="2"/>
        <v>14144.117647058825</v>
      </c>
      <c r="H28" s="118">
        <v>46143</v>
      </c>
      <c r="I28" s="119" t="s">
        <v>189</v>
      </c>
      <c r="J28" s="120">
        <v>20607818526</v>
      </c>
      <c r="K28" s="121" t="s">
        <v>625</v>
      </c>
      <c r="L28" s="116">
        <f t="shared" si="0"/>
        <v>8015</v>
      </c>
      <c r="M28" s="116">
        <f t="shared" si="1"/>
        <v>14144.117647058825</v>
      </c>
      <c r="Q28" s="133">
        <v>46174</v>
      </c>
      <c r="R28" s="129" t="s">
        <v>265</v>
      </c>
      <c r="S28" s="129">
        <v>20488026641</v>
      </c>
      <c r="T28" s="134" t="s">
        <v>729</v>
      </c>
      <c r="U28" s="129" t="s">
        <v>859</v>
      </c>
      <c r="V28" s="135">
        <v>0</v>
      </c>
      <c r="W28" s="116">
        <v>14144.117647058825</v>
      </c>
    </row>
    <row r="29" spans="1:23">
      <c r="A29" s="115" t="s">
        <v>566</v>
      </c>
      <c r="B29" s="115"/>
      <c r="C29" s="115"/>
      <c r="E29" s="116">
        <v>445864.22333333327</v>
      </c>
      <c r="F29" s="122">
        <f>SUM(F2:F28)</f>
        <v>786819.21764705866</v>
      </c>
      <c r="Q29" s="133">
        <v>46174</v>
      </c>
      <c r="R29" s="129" t="s">
        <v>271</v>
      </c>
      <c r="S29" s="129">
        <v>20613633601</v>
      </c>
      <c r="T29" s="134" t="s">
        <v>743</v>
      </c>
      <c r="U29" s="129" t="s">
        <v>950</v>
      </c>
      <c r="V29" s="135">
        <v>17702</v>
      </c>
      <c r="W29" s="62">
        <v>786819.21764705866</v>
      </c>
    </row>
    <row r="30" spans="1:23">
      <c r="A30" s="123"/>
      <c r="B30" s="123"/>
      <c r="C30" s="123"/>
      <c r="D30" s="123"/>
      <c r="E30" s="123"/>
      <c r="Q30" s="133">
        <v>46174</v>
      </c>
      <c r="R30" s="129" t="s">
        <v>203</v>
      </c>
      <c r="S30" s="129">
        <v>20603005920</v>
      </c>
      <c r="T30" s="134" t="s">
        <v>894</v>
      </c>
      <c r="U30" s="129" t="s">
        <v>859</v>
      </c>
      <c r="V30" s="135">
        <v>0</v>
      </c>
    </row>
    <row r="31" spans="1:23">
      <c r="A31" s="123"/>
      <c r="B31" s="123"/>
      <c r="C31" s="123"/>
      <c r="D31" s="123"/>
      <c r="E31" s="123"/>
      <c r="Q31" s="133">
        <v>46174</v>
      </c>
      <c r="R31" s="129" t="s">
        <v>203</v>
      </c>
      <c r="S31" s="129">
        <v>20609843277</v>
      </c>
      <c r="T31" s="134" t="s">
        <v>909</v>
      </c>
      <c r="U31" s="129" t="s">
        <v>859</v>
      </c>
      <c r="V31" s="135">
        <v>0</v>
      </c>
    </row>
    <row r="32" spans="1:23">
      <c r="A32" s="123"/>
      <c r="B32" s="123"/>
      <c r="C32" s="123"/>
      <c r="D32" s="123"/>
      <c r="E32" s="123"/>
      <c r="Q32" s="133">
        <v>46174</v>
      </c>
      <c r="R32" s="129" t="s">
        <v>80</v>
      </c>
      <c r="S32" s="129">
        <v>20608926888</v>
      </c>
      <c r="T32" s="134" t="s">
        <v>760</v>
      </c>
      <c r="U32" s="129" t="s">
        <v>859</v>
      </c>
      <c r="V32" s="135">
        <v>90184</v>
      </c>
    </row>
    <row r="33" spans="1:22">
      <c r="A33" s="123"/>
      <c r="B33" s="123"/>
      <c r="C33" s="123"/>
      <c r="D33" s="123"/>
      <c r="E33" s="123"/>
      <c r="Q33" s="133">
        <v>46174</v>
      </c>
      <c r="R33" s="129" t="s">
        <v>80</v>
      </c>
      <c r="S33" s="129">
        <v>20609006405</v>
      </c>
      <c r="T33" s="134" t="s">
        <v>762</v>
      </c>
      <c r="U33" s="129" t="s">
        <v>859</v>
      </c>
      <c r="V33" s="135">
        <v>0</v>
      </c>
    </row>
    <row r="34" spans="1:22">
      <c r="A34" s="123"/>
      <c r="B34" s="123"/>
      <c r="C34" s="123"/>
      <c r="D34" s="123"/>
      <c r="E34" s="123"/>
      <c r="Q34" s="133">
        <v>46174</v>
      </c>
      <c r="R34" s="129" t="s">
        <v>80</v>
      </c>
      <c r="S34" s="129">
        <v>20609012197</v>
      </c>
      <c r="T34" s="134" t="s">
        <v>704</v>
      </c>
      <c r="U34" s="129" t="s">
        <v>859</v>
      </c>
      <c r="V34" s="135">
        <v>126304</v>
      </c>
    </row>
    <row r="35" spans="1:22">
      <c r="A35" s="123"/>
      <c r="B35" s="123"/>
      <c r="C35" s="123"/>
      <c r="D35" s="123"/>
      <c r="E35" s="123"/>
      <c r="Q35" s="133">
        <v>46174</v>
      </c>
      <c r="R35" s="129" t="s">
        <v>80</v>
      </c>
      <c r="S35" s="129">
        <v>20612784796</v>
      </c>
      <c r="T35" s="134" t="s">
        <v>761</v>
      </c>
      <c r="U35" s="129" t="s">
        <v>956</v>
      </c>
      <c r="V35" s="135">
        <v>4356.3</v>
      </c>
    </row>
    <row r="36" spans="1:22">
      <c r="A36" s="123"/>
      <c r="B36" s="123"/>
      <c r="C36" s="123"/>
      <c r="D36" s="123"/>
      <c r="E36" s="123"/>
      <c r="Q36" s="133">
        <v>46174</v>
      </c>
      <c r="R36" s="129" t="s">
        <v>80</v>
      </c>
      <c r="S36" s="129">
        <v>20613698052</v>
      </c>
      <c r="T36" s="134" t="s">
        <v>759</v>
      </c>
      <c r="U36" s="129" t="s">
        <v>859</v>
      </c>
      <c r="V36" s="135">
        <v>4270.1000000000004</v>
      </c>
    </row>
    <row r="37" spans="1:22">
      <c r="A37" s="123"/>
      <c r="B37" s="123"/>
      <c r="C37" s="123"/>
      <c r="D37" s="123"/>
      <c r="E37" s="123"/>
      <c r="Q37" s="133">
        <v>46174</v>
      </c>
      <c r="R37" s="129" t="s">
        <v>278</v>
      </c>
      <c r="S37" s="129">
        <v>20449499540</v>
      </c>
      <c r="T37" s="134" t="s">
        <v>738</v>
      </c>
      <c r="U37" s="129" t="s">
        <v>957</v>
      </c>
      <c r="V37" s="135">
        <v>0</v>
      </c>
    </row>
    <row r="38" spans="1:22">
      <c r="A38" s="123"/>
      <c r="B38" s="123"/>
      <c r="C38" s="123"/>
      <c r="D38" s="123"/>
      <c r="E38" s="123"/>
      <c r="Q38" s="133">
        <v>46174</v>
      </c>
      <c r="R38" s="129" t="s">
        <v>278</v>
      </c>
      <c r="S38" s="129">
        <v>20610507761</v>
      </c>
      <c r="T38" s="134" t="s">
        <v>1163</v>
      </c>
      <c r="U38" s="129" t="s">
        <v>859</v>
      </c>
      <c r="V38" s="135">
        <v>0</v>
      </c>
    </row>
    <row r="39" spans="1:22">
      <c r="A39" s="123"/>
      <c r="B39" s="123"/>
      <c r="C39" s="123"/>
      <c r="D39" s="124"/>
      <c r="E39" s="123"/>
      <c r="Q39" s="133">
        <v>46174</v>
      </c>
      <c r="R39" s="129" t="s">
        <v>34</v>
      </c>
      <c r="S39" s="129">
        <v>20614521997</v>
      </c>
      <c r="T39" s="134" t="s">
        <v>861</v>
      </c>
      <c r="U39" s="129" t="s">
        <v>958</v>
      </c>
      <c r="V39" s="135">
        <v>3</v>
      </c>
    </row>
    <row r="40" spans="1:22">
      <c r="A40" s="123"/>
      <c r="B40" s="123"/>
      <c r="C40" s="123"/>
      <c r="D40" s="124"/>
      <c r="E40" s="123"/>
      <c r="Q40" s="133">
        <v>46174</v>
      </c>
      <c r="R40" s="129" t="s">
        <v>34</v>
      </c>
      <c r="S40" s="129">
        <v>20613042351</v>
      </c>
      <c r="T40" s="134" t="s">
        <v>906</v>
      </c>
      <c r="U40" s="129" t="s">
        <v>954</v>
      </c>
      <c r="V40" s="135">
        <v>0</v>
      </c>
    </row>
    <row r="41" spans="1:22">
      <c r="A41" s="123"/>
      <c r="B41" s="123"/>
      <c r="C41" s="123"/>
      <c r="D41" s="124"/>
      <c r="E41" s="123"/>
      <c r="Q41" s="133">
        <v>46174</v>
      </c>
      <c r="R41" s="129" t="s">
        <v>208</v>
      </c>
      <c r="S41" s="129">
        <v>10402573452</v>
      </c>
      <c r="T41" s="134" t="s">
        <v>706</v>
      </c>
      <c r="U41" s="129" t="s">
        <v>947</v>
      </c>
      <c r="V41" s="135">
        <v>0</v>
      </c>
    </row>
    <row r="42" spans="1:22">
      <c r="A42" s="123"/>
      <c r="B42" s="123"/>
      <c r="C42" s="123"/>
      <c r="D42" s="124"/>
      <c r="E42" s="123"/>
      <c r="Q42" s="133">
        <v>46174</v>
      </c>
      <c r="R42" s="129" t="s">
        <v>208</v>
      </c>
      <c r="S42" s="129">
        <v>20535913294</v>
      </c>
      <c r="T42" s="134" t="s">
        <v>881</v>
      </c>
      <c r="U42" s="129" t="s">
        <v>958</v>
      </c>
      <c r="V42" s="135">
        <v>0</v>
      </c>
    </row>
    <row r="43" spans="1:22">
      <c r="A43" s="123"/>
      <c r="B43" s="123"/>
      <c r="C43" s="123"/>
      <c r="D43" s="124"/>
      <c r="E43" s="123"/>
      <c r="Q43" s="133">
        <v>46174</v>
      </c>
      <c r="R43" s="129" t="s">
        <v>284</v>
      </c>
      <c r="S43" s="129">
        <v>20612053384</v>
      </c>
      <c r="T43" s="134" t="s">
        <v>740</v>
      </c>
      <c r="U43" s="129" t="s">
        <v>859</v>
      </c>
      <c r="V43" s="135">
        <v>0</v>
      </c>
    </row>
    <row r="44" spans="1:22">
      <c r="A44" s="123"/>
      <c r="B44" s="123"/>
      <c r="C44" s="123"/>
      <c r="D44" s="124"/>
      <c r="E44" s="123"/>
      <c r="Q44" s="133">
        <v>46174</v>
      </c>
      <c r="R44" s="129" t="s">
        <v>284</v>
      </c>
      <c r="S44" s="129">
        <v>20612334499</v>
      </c>
      <c r="T44" s="134" t="s">
        <v>753</v>
      </c>
      <c r="U44" s="129" t="s">
        <v>950</v>
      </c>
      <c r="V44" s="135">
        <v>1274</v>
      </c>
    </row>
    <row r="45" spans="1:22">
      <c r="A45" s="123"/>
      <c r="B45" s="123"/>
      <c r="C45" s="123"/>
      <c r="D45" s="124"/>
      <c r="E45" s="123"/>
      <c r="Q45" s="133">
        <v>46174</v>
      </c>
      <c r="R45" s="129" t="s">
        <v>284</v>
      </c>
      <c r="S45" s="129">
        <v>20612334499</v>
      </c>
      <c r="T45" s="134" t="s">
        <v>753</v>
      </c>
      <c r="U45" s="129" t="s">
        <v>952</v>
      </c>
      <c r="V45" s="135">
        <v>15950.5</v>
      </c>
    </row>
    <row r="46" spans="1:22">
      <c r="A46" s="123"/>
      <c r="B46" s="123"/>
      <c r="C46" s="123"/>
      <c r="D46" s="124"/>
      <c r="E46" s="123"/>
      <c r="Q46" s="133">
        <v>46174</v>
      </c>
      <c r="R46" s="129" t="s">
        <v>284</v>
      </c>
      <c r="S46" s="129">
        <v>20614387654</v>
      </c>
      <c r="T46" s="134" t="s">
        <v>735</v>
      </c>
      <c r="U46" s="129"/>
      <c r="V46" s="135">
        <v>0</v>
      </c>
    </row>
    <row r="47" spans="1:22">
      <c r="A47" s="123"/>
      <c r="B47" s="123"/>
      <c r="C47" s="123"/>
      <c r="D47" s="124"/>
      <c r="E47" s="123"/>
      <c r="Q47" s="133">
        <v>46174</v>
      </c>
      <c r="R47" s="129" t="s">
        <v>284</v>
      </c>
      <c r="S47" s="129">
        <v>20615897435</v>
      </c>
      <c r="T47" s="134" t="s">
        <v>781</v>
      </c>
      <c r="U47" s="129" t="s">
        <v>959</v>
      </c>
      <c r="V47" s="135">
        <v>101.2</v>
      </c>
    </row>
    <row r="48" spans="1:22">
      <c r="A48" s="123"/>
      <c r="B48" s="123"/>
      <c r="C48" s="123"/>
      <c r="D48" s="124"/>
      <c r="E48" s="123"/>
      <c r="Q48" s="133">
        <v>46174</v>
      </c>
      <c r="R48" s="129" t="s">
        <v>284</v>
      </c>
      <c r="S48" s="129">
        <v>20614992868</v>
      </c>
      <c r="T48" s="134" t="s">
        <v>921</v>
      </c>
      <c r="U48" s="129" t="s">
        <v>960</v>
      </c>
      <c r="V48" s="135">
        <v>0</v>
      </c>
    </row>
    <row r="49" spans="1:22">
      <c r="A49" s="123"/>
      <c r="B49" s="123"/>
      <c r="C49" s="123"/>
      <c r="D49" s="124"/>
      <c r="E49" s="123"/>
      <c r="Q49" s="134" t="s">
        <v>566</v>
      </c>
      <c r="R49" s="134"/>
      <c r="S49" s="134"/>
      <c r="T49" s="134"/>
      <c r="U49" s="134"/>
      <c r="V49" s="135">
        <v>791448.28</v>
      </c>
    </row>
    <row r="50" spans="1:22">
      <c r="A50" s="123"/>
      <c r="B50" s="123"/>
      <c r="C50" s="123"/>
      <c r="D50" s="124"/>
      <c r="E50" s="123"/>
    </row>
    <row r="51" spans="1:22">
      <c r="A51" s="123"/>
      <c r="B51" s="123"/>
      <c r="C51" s="123"/>
      <c r="D51" s="124"/>
      <c r="E51" s="123"/>
    </row>
  </sheetData>
  <autoFilter ref="H1:M28" xr:uid="{427C5C36-3B79-4A83-AD91-5F2BB93ACA36}">
    <sortState xmlns:xlrd2="http://schemas.microsoft.com/office/spreadsheetml/2017/richdata2" ref="H2:M29">
      <sortCondition descending="1" ref="L1:L28"/>
    </sortState>
  </autoFilter>
  <pageMargins left="0.7" right="0.7" top="0.75" bottom="0.75" header="0.3" footer="0.3"/>
  <pageSetup paperSize="9" orientation="portrait" horizontalDpi="360" verticalDpi="360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3D3E6-60AA-44F1-8388-F7EB19F31146}">
  <sheetPr codeName="Hoja13"/>
  <dimension ref="D6:Z183"/>
  <sheetViews>
    <sheetView showGridLines="0" topLeftCell="J13" zoomScale="85" zoomScaleNormal="85" workbookViewId="0">
      <selection activeCell="J30" sqref="J29:Y30"/>
    </sheetView>
  </sheetViews>
  <sheetFormatPr baseColWidth="10" defaultRowHeight="15"/>
  <cols>
    <col min="1" max="3" width="11.42578125" style="62"/>
    <col min="4" max="4" width="23" style="62" bestFit="1" customWidth="1"/>
    <col min="5" max="6" width="11.42578125" style="62"/>
    <col min="7" max="7" width="12.28515625" style="62" bestFit="1" customWidth="1"/>
    <col min="8" max="9" width="13.5703125" style="62" customWidth="1"/>
    <col min="10" max="10" width="15.42578125" style="62" bestFit="1" customWidth="1"/>
    <col min="11" max="11" width="15.85546875" style="62" bestFit="1" customWidth="1"/>
    <col min="12" max="12" width="13.5703125" style="62" bestFit="1" customWidth="1"/>
    <col min="13" max="16" width="11.42578125" style="62"/>
    <col min="17" max="17" width="15.7109375" style="62" bestFit="1" customWidth="1"/>
    <col min="18" max="18" width="11.7109375" style="62" bestFit="1" customWidth="1"/>
    <col min="19" max="16384" width="11.42578125" style="62"/>
  </cols>
  <sheetData>
    <row r="6" spans="4:14">
      <c r="D6" s="82" t="s">
        <v>562</v>
      </c>
      <c r="E6" s="82" t="s">
        <v>712</v>
      </c>
      <c r="F6" s="82" t="s">
        <v>620</v>
      </c>
      <c r="G6" s="82" t="s">
        <v>621</v>
      </c>
      <c r="H6" s="82"/>
      <c r="I6" s="82"/>
      <c r="J6" s="82"/>
      <c r="K6" s="82"/>
      <c r="L6" s="82"/>
      <c r="M6" s="82"/>
      <c r="N6" s="82"/>
    </row>
    <row r="7" spans="4:14">
      <c r="D7" s="62" t="s">
        <v>789</v>
      </c>
      <c r="E7" s="64">
        <v>2700</v>
      </c>
      <c r="F7" s="64">
        <v>5100</v>
      </c>
      <c r="G7" s="64">
        <v>9000</v>
      </c>
      <c r="H7" s="64"/>
      <c r="I7" s="64"/>
      <c r="J7" s="64"/>
      <c r="K7" s="64"/>
      <c r="L7" s="64"/>
      <c r="M7" s="64"/>
      <c r="N7" s="64"/>
    </row>
    <row r="8" spans="4:14">
      <c r="D8" s="62" t="s">
        <v>790</v>
      </c>
      <c r="E8" s="64">
        <f>E7*0.5</f>
        <v>1350</v>
      </c>
      <c r="F8" s="64">
        <f>F7*0.5</f>
        <v>2550</v>
      </c>
      <c r="G8" s="64">
        <f>G7*0.5</f>
        <v>4500</v>
      </c>
      <c r="H8" s="64"/>
      <c r="I8" s="64"/>
      <c r="J8" s="64"/>
      <c r="K8" s="64"/>
      <c r="L8" s="64"/>
      <c r="M8" s="64"/>
      <c r="N8" s="64"/>
    </row>
    <row r="9" spans="4:14">
      <c r="D9" s="62" t="s">
        <v>791</v>
      </c>
      <c r="E9" s="64">
        <v>0</v>
      </c>
      <c r="F9" s="64">
        <f>E7*0.5</f>
        <v>1350</v>
      </c>
      <c r="G9" s="64">
        <f>F7*0.5</f>
        <v>2550</v>
      </c>
      <c r="H9" s="64"/>
      <c r="I9" s="64"/>
      <c r="J9" s="64"/>
      <c r="K9" s="64"/>
      <c r="L9" s="64"/>
      <c r="M9" s="64"/>
      <c r="N9" s="64"/>
    </row>
    <row r="10" spans="4:14">
      <c r="D10" s="82" t="s">
        <v>792</v>
      </c>
      <c r="E10" s="83">
        <f>SUM(E8:E9)</f>
        <v>1350</v>
      </c>
      <c r="F10" s="83">
        <f t="shared" ref="F10:G10" si="0">SUM(F8:F9)</f>
        <v>3900</v>
      </c>
      <c r="G10" s="83">
        <f t="shared" si="0"/>
        <v>7050</v>
      </c>
      <c r="H10" s="83"/>
      <c r="I10" s="83"/>
      <c r="J10" s="83"/>
      <c r="K10" s="83"/>
      <c r="L10" s="83"/>
      <c r="M10" s="83"/>
      <c r="N10" s="83"/>
    </row>
    <row r="11" spans="4:14">
      <c r="E11" s="62" t="s">
        <v>793</v>
      </c>
    </row>
    <row r="13" spans="4:14">
      <c r="D13" s="62" t="s">
        <v>787</v>
      </c>
      <c r="E13" s="84">
        <v>130</v>
      </c>
      <c r="F13" s="84">
        <v>236</v>
      </c>
      <c r="G13" s="84">
        <v>329</v>
      </c>
      <c r="H13" s="84"/>
      <c r="I13" s="84"/>
      <c r="J13" s="84"/>
      <c r="K13" s="84"/>
      <c r="L13" s="84"/>
      <c r="M13" s="84"/>
      <c r="N13" s="84"/>
    </row>
    <row r="14" spans="4:14">
      <c r="D14" s="62" t="s">
        <v>714</v>
      </c>
      <c r="E14" s="84">
        <f>E13*0.75</f>
        <v>97.5</v>
      </c>
      <c r="F14" s="84">
        <f>F13*0.6</f>
        <v>141.6</v>
      </c>
      <c r="G14" s="84">
        <f>G13*0.6</f>
        <v>197.4</v>
      </c>
      <c r="H14" s="84"/>
      <c r="I14" s="84"/>
      <c r="J14" s="84"/>
      <c r="K14" s="84"/>
      <c r="L14" s="84"/>
      <c r="M14" s="84"/>
      <c r="N14" s="84"/>
    </row>
    <row r="15" spans="4:14">
      <c r="D15" s="62" t="s">
        <v>713</v>
      </c>
      <c r="E15" s="84">
        <v>0</v>
      </c>
      <c r="F15" s="84">
        <f>E13*0.25</f>
        <v>32.5</v>
      </c>
      <c r="G15" s="84">
        <f>F13*0.4</f>
        <v>94.4</v>
      </c>
      <c r="H15" s="84"/>
      <c r="I15" s="84"/>
      <c r="J15" s="84"/>
      <c r="K15" s="84"/>
      <c r="L15" s="84"/>
      <c r="M15" s="84"/>
      <c r="N15" s="84"/>
    </row>
    <row r="16" spans="4:14">
      <c r="D16" s="82" t="s">
        <v>788</v>
      </c>
      <c r="E16" s="85">
        <f>E14+E15</f>
        <v>97.5</v>
      </c>
      <c r="F16" s="85">
        <f t="shared" ref="F16:G16" si="1">F14+F15</f>
        <v>174.1</v>
      </c>
      <c r="G16" s="85">
        <f t="shared" si="1"/>
        <v>291.8</v>
      </c>
      <c r="H16" s="85"/>
      <c r="I16" s="85"/>
      <c r="J16" s="85"/>
      <c r="K16" s="85"/>
      <c r="L16" s="85"/>
      <c r="M16" s="85"/>
      <c r="N16" s="85"/>
    </row>
    <row r="22" spans="4:26">
      <c r="D22" s="82" t="s">
        <v>794</v>
      </c>
      <c r="E22" s="82" t="s">
        <v>712</v>
      </c>
      <c r="F22" s="82" t="s">
        <v>620</v>
      </c>
      <c r="G22" s="82" t="s">
        <v>621</v>
      </c>
      <c r="H22" s="82"/>
      <c r="I22" s="82"/>
      <c r="J22" s="82"/>
      <c r="K22" s="82"/>
      <c r="L22" s="82"/>
      <c r="M22" s="82"/>
      <c r="N22" s="82"/>
      <c r="Q22" s="91" t="s">
        <v>794</v>
      </c>
      <c r="R22" s="65" t="s">
        <v>620</v>
      </c>
      <c r="S22" s="65" t="s">
        <v>621</v>
      </c>
      <c r="T22" s="65" t="s">
        <v>622</v>
      </c>
    </row>
    <row r="23" spans="4:26">
      <c r="D23" s="82" t="s">
        <v>789</v>
      </c>
      <c r="E23" s="83">
        <v>2700</v>
      </c>
      <c r="F23" s="83">
        <v>5100</v>
      </c>
      <c r="G23" s="83">
        <v>9000</v>
      </c>
      <c r="H23" s="83"/>
      <c r="I23" s="83"/>
      <c r="J23" s="83"/>
      <c r="K23" s="83"/>
      <c r="L23" s="83"/>
      <c r="M23" s="83"/>
      <c r="N23" s="83"/>
      <c r="Q23" s="91" t="s">
        <v>798</v>
      </c>
      <c r="R23" s="65">
        <v>28</v>
      </c>
      <c r="S23" s="65">
        <v>28</v>
      </c>
      <c r="T23" s="65">
        <v>28</v>
      </c>
    </row>
    <row r="24" spans="4:26">
      <c r="D24" s="62" t="s">
        <v>790</v>
      </c>
      <c r="E24" s="64">
        <v>300</v>
      </c>
      <c r="F24" s="64">
        <f>2550+1450</f>
        <v>4000</v>
      </c>
      <c r="G24" s="64">
        <v>4500</v>
      </c>
      <c r="H24" s="64"/>
      <c r="I24" s="64"/>
      <c r="J24" s="64"/>
      <c r="K24" s="64"/>
      <c r="L24" s="64"/>
      <c r="M24" s="64"/>
      <c r="N24" s="64"/>
      <c r="Q24" s="91" t="s">
        <v>799</v>
      </c>
      <c r="R24" s="65">
        <v>7</v>
      </c>
      <c r="S24" s="65">
        <v>7</v>
      </c>
      <c r="T24" s="65">
        <v>7</v>
      </c>
      <c r="Z24" s="62" t="s">
        <v>620</v>
      </c>
    </row>
    <row r="25" spans="4:26">
      <c r="D25" s="62" t="s">
        <v>791</v>
      </c>
      <c r="E25" s="64">
        <v>0</v>
      </c>
      <c r="F25" s="64">
        <f>1250-E24</f>
        <v>950</v>
      </c>
      <c r="G25" s="64">
        <v>2550</v>
      </c>
      <c r="H25" s="64"/>
      <c r="I25" s="64"/>
      <c r="J25" s="64"/>
      <c r="K25" s="64"/>
      <c r="L25" s="64"/>
      <c r="M25" s="64"/>
      <c r="N25" s="64"/>
      <c r="Q25" s="91" t="s">
        <v>800</v>
      </c>
      <c r="R25" s="66">
        <f>R23*83000</f>
        <v>2324000</v>
      </c>
      <c r="S25" s="66">
        <f t="shared" ref="S25:T25" si="2">S23*83000</f>
        <v>2324000</v>
      </c>
      <c r="T25" s="66">
        <f t="shared" si="2"/>
        <v>2324000</v>
      </c>
      <c r="Y25" s="82" t="s">
        <v>624</v>
      </c>
      <c r="Z25" s="64">
        <v>1000000</v>
      </c>
    </row>
    <row r="26" spans="4:26">
      <c r="D26" s="62" t="s">
        <v>795</v>
      </c>
      <c r="E26" s="64">
        <f>SUM(E24:E25)</f>
        <v>300</v>
      </c>
      <c r="F26" s="64">
        <f>SUM(F24:F25)</f>
        <v>4950</v>
      </c>
      <c r="G26" s="64">
        <f t="shared" ref="G26" si="3">SUM(G24:G25)</f>
        <v>7050</v>
      </c>
      <c r="H26" s="64"/>
      <c r="I26" s="64"/>
      <c r="J26" s="64"/>
      <c r="K26" s="64"/>
      <c r="L26" s="64"/>
      <c r="M26" s="64"/>
      <c r="N26" s="64"/>
      <c r="Q26" s="91" t="s">
        <v>801</v>
      </c>
      <c r="R26" s="66">
        <f>R24*250000</f>
        <v>1750000</v>
      </c>
      <c r="S26" s="66">
        <f t="shared" ref="S26:T26" si="4">S24*250000</f>
        <v>1750000</v>
      </c>
      <c r="T26" s="66">
        <f t="shared" si="4"/>
        <v>1750000</v>
      </c>
      <c r="Y26" s="82" t="s">
        <v>623</v>
      </c>
      <c r="Z26" s="64">
        <v>2000000</v>
      </c>
    </row>
    <row r="27" spans="4:26">
      <c r="G27" s="88">
        <f>F28*1.25</f>
        <v>295</v>
      </c>
      <c r="H27" s="88"/>
      <c r="I27" s="88"/>
      <c r="J27" s="88"/>
      <c r="K27" s="88"/>
      <c r="L27" s="88"/>
      <c r="M27" s="88"/>
      <c r="N27" s="88"/>
      <c r="Q27" s="91" t="s">
        <v>792</v>
      </c>
      <c r="R27" s="66">
        <f>R25+R26</f>
        <v>4074000</v>
      </c>
      <c r="S27" s="66">
        <f t="shared" ref="S27:T27" si="5">S25+S26</f>
        <v>4074000</v>
      </c>
      <c r="T27" s="66">
        <f t="shared" si="5"/>
        <v>4074000</v>
      </c>
      <c r="Y27" s="82" t="s">
        <v>805</v>
      </c>
      <c r="Z27" s="64">
        <v>600000</v>
      </c>
    </row>
    <row r="28" spans="4:26">
      <c r="D28" s="62" t="s">
        <v>787</v>
      </c>
      <c r="E28" s="84">
        <v>130</v>
      </c>
      <c r="F28" s="84">
        <v>236</v>
      </c>
      <c r="G28" s="84">
        <v>329</v>
      </c>
      <c r="H28" s="84"/>
      <c r="I28" s="84"/>
      <c r="J28" s="84"/>
      <c r="K28" s="84"/>
      <c r="L28" s="84"/>
      <c r="M28" s="84"/>
      <c r="N28" s="84"/>
      <c r="O28" s="84"/>
      <c r="Q28" s="82"/>
      <c r="Y28" s="82" t="s">
        <v>806</v>
      </c>
      <c r="Z28" s="64">
        <v>500000</v>
      </c>
    </row>
    <row r="29" spans="4:26">
      <c r="D29" s="62" t="s">
        <v>714</v>
      </c>
      <c r="E29" s="86">
        <f>E28*0.75</f>
        <v>97.5</v>
      </c>
      <c r="F29" s="86">
        <f>F28*0.5</f>
        <v>118</v>
      </c>
      <c r="G29" s="84">
        <f>G28*0.6</f>
        <v>197.4</v>
      </c>
      <c r="H29" s="84"/>
      <c r="I29" s="84"/>
      <c r="J29" s="84"/>
      <c r="K29" s="84"/>
      <c r="L29" s="84"/>
      <c r="M29" s="84"/>
      <c r="N29" s="84"/>
      <c r="Q29" s="82"/>
      <c r="Y29" s="82" t="s">
        <v>807</v>
      </c>
      <c r="Z29" s="64">
        <f>SUM(Z25:Z28)</f>
        <v>4100000</v>
      </c>
    </row>
    <row r="30" spans="4:26">
      <c r="D30" s="62" t="s">
        <v>713</v>
      </c>
      <c r="E30" s="84">
        <v>0</v>
      </c>
      <c r="F30" s="84">
        <v>0</v>
      </c>
      <c r="G30" s="84">
        <f>300-142</f>
        <v>158</v>
      </c>
      <c r="H30" s="84"/>
      <c r="I30" s="84"/>
      <c r="J30" s="84"/>
      <c r="K30" s="84"/>
      <c r="L30" s="84"/>
      <c r="M30" s="84"/>
      <c r="N30" s="84"/>
      <c r="Q30" s="91" t="s">
        <v>802</v>
      </c>
      <c r="R30" s="66">
        <f>R23*4893</f>
        <v>137004</v>
      </c>
      <c r="S30" s="66">
        <f>S23*4893</f>
        <v>137004</v>
      </c>
      <c r="T30" s="66">
        <f>T23*4893</f>
        <v>137004</v>
      </c>
      <c r="Y30" s="82" t="s">
        <v>808</v>
      </c>
      <c r="Z30" s="64">
        <f>R27</f>
        <v>4074000</v>
      </c>
    </row>
    <row r="31" spans="4:26">
      <c r="D31" s="62" t="s">
        <v>796</v>
      </c>
      <c r="E31" s="87">
        <v>0</v>
      </c>
      <c r="F31" s="87">
        <v>0</v>
      </c>
      <c r="G31" s="87">
        <v>0</v>
      </c>
      <c r="H31" s="87"/>
      <c r="I31" s="87"/>
      <c r="J31" s="87"/>
      <c r="K31" s="87"/>
      <c r="L31" s="87"/>
      <c r="M31" s="87"/>
      <c r="N31" s="87"/>
      <c r="Q31" s="91" t="s">
        <v>803</v>
      </c>
      <c r="R31" s="66">
        <f>R24*8000</f>
        <v>56000</v>
      </c>
      <c r="S31" s="66">
        <f>S24*8000</f>
        <v>56000</v>
      </c>
      <c r="T31" s="66">
        <f>T24*8000</f>
        <v>56000</v>
      </c>
    </row>
    <row r="32" spans="4:26">
      <c r="D32" s="82" t="s">
        <v>788</v>
      </c>
      <c r="E32" s="85">
        <f>E29+E30</f>
        <v>97.5</v>
      </c>
      <c r="F32" s="85">
        <f>F29+F30</f>
        <v>118</v>
      </c>
      <c r="G32" s="85">
        <f>G29+G30</f>
        <v>355.4</v>
      </c>
      <c r="H32" s="85"/>
      <c r="I32" s="85"/>
      <c r="J32" s="85"/>
      <c r="K32" s="85"/>
      <c r="L32" s="85"/>
      <c r="M32" s="85"/>
      <c r="N32" s="85"/>
      <c r="Q32" s="91" t="s">
        <v>787</v>
      </c>
      <c r="R32" s="66">
        <f>R30+R31</f>
        <v>193004</v>
      </c>
      <c r="S32" s="66">
        <f t="shared" ref="S32:T32" si="6">S30+S31</f>
        <v>193004</v>
      </c>
      <c r="T32" s="66">
        <f t="shared" si="6"/>
        <v>193004</v>
      </c>
    </row>
    <row r="33" spans="17:20">
      <c r="Q33" s="91" t="s">
        <v>714</v>
      </c>
      <c r="R33" s="66">
        <f>R32*0.5</f>
        <v>96502</v>
      </c>
      <c r="S33" s="66">
        <f t="shared" ref="S33:T33" si="7">S32*0.5</f>
        <v>96502</v>
      </c>
      <c r="T33" s="66">
        <f t="shared" si="7"/>
        <v>96502</v>
      </c>
    </row>
    <row r="34" spans="17:20">
      <c r="Q34" s="91" t="s">
        <v>713</v>
      </c>
      <c r="R34" s="66">
        <f>R32*0.5</f>
        <v>96502</v>
      </c>
      <c r="S34" s="66">
        <f t="shared" ref="S34:T34" si="8">S32*0.5</f>
        <v>96502</v>
      </c>
      <c r="T34" s="66">
        <f t="shared" si="8"/>
        <v>96502</v>
      </c>
    </row>
    <row r="35" spans="17:20">
      <c r="Q35" s="91" t="s">
        <v>804</v>
      </c>
      <c r="R35" s="66">
        <f>R33+R34</f>
        <v>193004</v>
      </c>
      <c r="S35" s="66">
        <f t="shared" ref="S35:T35" si="9">S33+S34</f>
        <v>193004</v>
      </c>
      <c r="T35" s="66">
        <f t="shared" si="9"/>
        <v>193004</v>
      </c>
    </row>
    <row r="51" spans="5:12">
      <c r="E51" s="62" t="s">
        <v>885</v>
      </c>
      <c r="F51" s="62" t="s">
        <v>886</v>
      </c>
      <c r="G51" s="62" t="s">
        <v>885</v>
      </c>
      <c r="H51" s="62" t="s">
        <v>886</v>
      </c>
    </row>
    <row r="52" spans="5:12">
      <c r="E52" s="62">
        <v>1058413</v>
      </c>
      <c r="F52" s="62">
        <f>VLOOKUP(E52,Data!F:F,1,0)</f>
        <v>1058413</v>
      </c>
      <c r="G52" s="62">
        <v>10424714441</v>
      </c>
      <c r="H52" s="62">
        <f>VLOOKUP(G52,Data!H:H,1,0)</f>
        <v>10424714441</v>
      </c>
      <c r="J52" s="62" t="s">
        <v>925</v>
      </c>
      <c r="K52" s="62" t="s">
        <v>923</v>
      </c>
      <c r="L52" s="62" t="s">
        <v>924</v>
      </c>
    </row>
    <row r="53" spans="5:12">
      <c r="E53" s="62">
        <v>5946666</v>
      </c>
      <c r="F53" s="62">
        <f>VLOOKUP(E53,Data!F:F,1,0)</f>
        <v>5946666</v>
      </c>
      <c r="G53" s="62">
        <v>20533799401</v>
      </c>
      <c r="H53" s="62">
        <f>VLOOKUP(G53,Data!H:H,1,0)</f>
        <v>20533799401</v>
      </c>
      <c r="J53" s="62">
        <v>1058413</v>
      </c>
      <c r="K53" s="92">
        <v>46153</v>
      </c>
      <c r="L53" s="92">
        <v>46160</v>
      </c>
    </row>
    <row r="54" spans="5:12">
      <c r="E54" s="62">
        <v>5946377</v>
      </c>
      <c r="F54" s="62">
        <f>VLOOKUP(E54,Data!F:F,1,0)</f>
        <v>5946377</v>
      </c>
      <c r="G54" s="62">
        <v>20533799401</v>
      </c>
      <c r="H54" s="62">
        <f>VLOOKUP(G54,Data!H:H,1,0)</f>
        <v>20533799401</v>
      </c>
      <c r="J54" s="62">
        <v>5946666</v>
      </c>
      <c r="K54" s="92">
        <v>46153</v>
      </c>
      <c r="L54" s="92">
        <v>46157</v>
      </c>
    </row>
    <row r="55" spans="5:12">
      <c r="E55" s="62">
        <v>1058498</v>
      </c>
      <c r="F55" s="62">
        <f>VLOOKUP(E55,Data!F:F,1,0)</f>
        <v>1058498</v>
      </c>
      <c r="G55" s="62">
        <v>20612897949</v>
      </c>
      <c r="H55" s="62">
        <f>VLOOKUP(G55,Data!H:H,1,0)</f>
        <v>20612897949</v>
      </c>
      <c r="J55" s="62">
        <v>5946377</v>
      </c>
      <c r="K55" s="92">
        <v>46153</v>
      </c>
      <c r="L55" s="92">
        <v>46157</v>
      </c>
    </row>
    <row r="56" spans="5:12">
      <c r="E56" s="62">
        <v>1058441</v>
      </c>
      <c r="F56" s="62">
        <f>VLOOKUP(E56,Data!F:F,1,0)</f>
        <v>1058441</v>
      </c>
      <c r="G56" s="62">
        <v>20610935932</v>
      </c>
      <c r="H56" s="62">
        <f>VLOOKUP(G56,Data!H:H,1,0)</f>
        <v>20610935932</v>
      </c>
      <c r="J56" s="62">
        <v>1058498</v>
      </c>
      <c r="K56" s="92">
        <v>46154</v>
      </c>
      <c r="L56" s="92">
        <v>46163</v>
      </c>
    </row>
    <row r="57" spans="5:12">
      <c r="E57" s="62">
        <v>1058457</v>
      </c>
      <c r="F57" s="62">
        <f>VLOOKUP(E57,Data!F:F,1,0)</f>
        <v>1058457</v>
      </c>
      <c r="G57" s="62">
        <v>20610935932</v>
      </c>
      <c r="H57" s="62">
        <f>VLOOKUP(G57,Data!H:H,1,0)</f>
        <v>20610935932</v>
      </c>
      <c r="J57" s="62">
        <v>1058441</v>
      </c>
      <c r="K57" s="92">
        <v>46154</v>
      </c>
      <c r="L57" s="92">
        <v>46161</v>
      </c>
    </row>
    <row r="58" spans="5:12">
      <c r="E58" s="62">
        <v>1058458</v>
      </c>
      <c r="F58" s="62">
        <f>VLOOKUP(E58,Data!F:F,1,0)</f>
        <v>1058458</v>
      </c>
      <c r="G58" s="62">
        <v>20610935932</v>
      </c>
      <c r="H58" s="62">
        <f>VLOOKUP(G58,Data!H:H,1,0)</f>
        <v>20610935932</v>
      </c>
      <c r="J58" s="62">
        <v>1058457</v>
      </c>
      <c r="K58" s="92">
        <v>46154</v>
      </c>
      <c r="L58" s="92">
        <v>46161</v>
      </c>
    </row>
    <row r="59" spans="5:12">
      <c r="E59" s="62">
        <v>1058459</v>
      </c>
      <c r="F59" s="62">
        <f>VLOOKUP(E59,Data!F:F,1,0)</f>
        <v>1058459</v>
      </c>
      <c r="G59" s="62">
        <v>20610935932</v>
      </c>
      <c r="H59" s="62">
        <f>VLOOKUP(G59,Data!H:H,1,0)</f>
        <v>20610935932</v>
      </c>
      <c r="J59" s="62">
        <v>1058458</v>
      </c>
      <c r="K59" s="92">
        <v>46154</v>
      </c>
      <c r="L59" s="92">
        <v>46161</v>
      </c>
    </row>
    <row r="60" spans="5:12">
      <c r="E60" s="62">
        <v>1058460</v>
      </c>
      <c r="F60" s="62">
        <f>VLOOKUP(E60,Data!F:F,1,0)</f>
        <v>1058460</v>
      </c>
      <c r="G60" s="62">
        <v>20610935932</v>
      </c>
      <c r="H60" s="62">
        <f>VLOOKUP(G60,Data!H:H,1,0)</f>
        <v>20610935932</v>
      </c>
      <c r="J60" s="62">
        <v>1058459</v>
      </c>
      <c r="K60" s="92">
        <v>46154</v>
      </c>
      <c r="L60" s="92">
        <v>46161</v>
      </c>
    </row>
    <row r="61" spans="5:12">
      <c r="E61" s="62">
        <v>1058462</v>
      </c>
      <c r="F61" s="62">
        <f>VLOOKUP(E61,Data!F:F,1,0)</f>
        <v>1058462</v>
      </c>
      <c r="G61" s="62">
        <v>20610935932</v>
      </c>
      <c r="H61" s="62">
        <f>VLOOKUP(G61,Data!H:H,1,0)</f>
        <v>20610935932</v>
      </c>
      <c r="J61" s="62">
        <v>1058460</v>
      </c>
      <c r="K61" s="92">
        <v>46154</v>
      </c>
      <c r="L61" s="92">
        <v>46161</v>
      </c>
    </row>
    <row r="62" spans="5:12">
      <c r="E62" s="62">
        <v>5946838</v>
      </c>
      <c r="F62" s="62">
        <f>VLOOKUP(E62,Data!F:F,1,0)</f>
        <v>5946838</v>
      </c>
      <c r="G62" s="62">
        <v>20615538222</v>
      </c>
      <c r="H62" s="62">
        <f>VLOOKUP(G62,Data!H:H,1,0)</f>
        <v>20615538222</v>
      </c>
      <c r="J62" s="62">
        <v>1058462</v>
      </c>
      <c r="K62" s="92">
        <v>46154</v>
      </c>
      <c r="L62" s="92">
        <v>46161</v>
      </c>
    </row>
    <row r="63" spans="5:12">
      <c r="E63" s="62">
        <v>5946827</v>
      </c>
      <c r="F63" s="62">
        <f>VLOOKUP(E63,Data!F:F,1,0)</f>
        <v>5946827</v>
      </c>
      <c r="G63" s="62">
        <v>10413980076</v>
      </c>
      <c r="H63" s="62">
        <f>VLOOKUP(G63,Data!H:H,1,0)</f>
        <v>10413980076</v>
      </c>
      <c r="J63" s="62">
        <v>5946838</v>
      </c>
      <c r="K63" s="92">
        <v>46154</v>
      </c>
      <c r="L63" s="92">
        <v>46155</v>
      </c>
    </row>
    <row r="64" spans="5:12">
      <c r="E64" s="62">
        <v>5947649</v>
      </c>
      <c r="F64" s="62">
        <f>VLOOKUP(E64,Data!F:F,1,0)</f>
        <v>5947649</v>
      </c>
      <c r="G64" s="62">
        <v>20614514338</v>
      </c>
      <c r="H64" s="62">
        <f>VLOOKUP(G64,Data!H:H,1,0)</f>
        <v>20614514338</v>
      </c>
      <c r="J64" s="62">
        <v>5946827</v>
      </c>
      <c r="K64" s="92">
        <v>46154</v>
      </c>
      <c r="L64" s="92">
        <v>46155</v>
      </c>
    </row>
    <row r="65" spans="5:12">
      <c r="E65" s="62">
        <v>5947793</v>
      </c>
      <c r="F65" s="62">
        <f>VLOOKUP(E65,Data!F:F,1,0)</f>
        <v>5947793</v>
      </c>
      <c r="G65" s="62">
        <v>20614514338</v>
      </c>
      <c r="H65" s="62">
        <f>VLOOKUP(G65,Data!H:H,1,0)</f>
        <v>20614514338</v>
      </c>
      <c r="J65" s="62">
        <v>5947649</v>
      </c>
      <c r="K65" s="92">
        <v>46156</v>
      </c>
      <c r="L65" s="92">
        <v>46157</v>
      </c>
    </row>
    <row r="66" spans="5:12">
      <c r="E66" s="62">
        <v>5947651</v>
      </c>
      <c r="F66" s="62">
        <f>VLOOKUP(E66,Data!F:F,1,0)</f>
        <v>5947651</v>
      </c>
      <c r="G66" s="62">
        <v>20612598780</v>
      </c>
      <c r="H66" s="62">
        <f>VLOOKUP(G66,Data!H:H,1,0)</f>
        <v>20612598780</v>
      </c>
      <c r="J66" s="62">
        <v>5947793</v>
      </c>
      <c r="K66" s="92">
        <v>46156</v>
      </c>
      <c r="L66" s="92">
        <v>46160</v>
      </c>
    </row>
    <row r="67" spans="5:12">
      <c r="E67" s="62">
        <v>5947775</v>
      </c>
      <c r="F67" s="62">
        <f>VLOOKUP(E67,Data!F:F,1,0)</f>
        <v>5947775</v>
      </c>
      <c r="G67" s="62">
        <v>20612598780</v>
      </c>
      <c r="H67" s="62">
        <f>VLOOKUP(G67,Data!H:H,1,0)</f>
        <v>20612598780</v>
      </c>
      <c r="J67" s="62">
        <v>5947651</v>
      </c>
      <c r="K67" s="92">
        <v>46157</v>
      </c>
      <c r="L67" s="92">
        <v>46160</v>
      </c>
    </row>
    <row r="68" spans="5:12">
      <c r="E68" s="62">
        <v>5947694</v>
      </c>
      <c r="F68" s="62">
        <f>VLOOKUP(E68,Data!F:F,1,0)</f>
        <v>5947694</v>
      </c>
      <c r="G68" s="62">
        <v>20615727165</v>
      </c>
      <c r="H68" s="62">
        <f>VLOOKUP(G68,Data!H:H,1,0)</f>
        <v>20615727165</v>
      </c>
      <c r="J68" s="62">
        <v>5947775</v>
      </c>
      <c r="K68" s="92">
        <v>46157</v>
      </c>
      <c r="L68" s="92">
        <v>46160</v>
      </c>
    </row>
    <row r="69" spans="5:12">
      <c r="E69" s="62">
        <v>5947811</v>
      </c>
      <c r="F69" s="62">
        <f>VLOOKUP(E69,Data!F:F,1,0)</f>
        <v>5947811</v>
      </c>
      <c r="G69" s="62">
        <v>20613703439</v>
      </c>
      <c r="H69" s="62">
        <f>VLOOKUP(G69,Data!H:H,1,0)</f>
        <v>20613703439</v>
      </c>
      <c r="J69" s="62">
        <v>5947694</v>
      </c>
      <c r="K69" s="92">
        <v>46157</v>
      </c>
      <c r="L69" s="92">
        <v>46157</v>
      </c>
    </row>
    <row r="70" spans="5:12">
      <c r="E70" s="62">
        <v>5947833</v>
      </c>
      <c r="F70" s="62">
        <f>VLOOKUP(E70,Data!F:F,1,0)</f>
        <v>5947833</v>
      </c>
      <c r="G70" s="62">
        <v>20612913359</v>
      </c>
      <c r="H70" s="62">
        <f>VLOOKUP(G70,Data!H:H,1,0)</f>
        <v>20612913359</v>
      </c>
      <c r="J70" s="62">
        <v>5947811</v>
      </c>
      <c r="K70" s="92">
        <v>46157</v>
      </c>
      <c r="L70" s="92">
        <v>46160</v>
      </c>
    </row>
    <row r="71" spans="5:12">
      <c r="E71" s="62">
        <v>5948363</v>
      </c>
      <c r="F71" s="62">
        <f>VLOOKUP(E71,Data!F:F,1,0)</f>
        <v>5948363</v>
      </c>
      <c r="G71" s="62">
        <v>20539185901</v>
      </c>
      <c r="H71" s="62">
        <f>VLOOKUP(G71,Data!H:H,1,0)</f>
        <v>20539185901</v>
      </c>
      <c r="J71" s="62">
        <v>5947833</v>
      </c>
      <c r="K71" s="92">
        <v>46157</v>
      </c>
      <c r="L71" s="92">
        <v>46160</v>
      </c>
    </row>
    <row r="72" spans="5:12">
      <c r="E72" s="62">
        <v>5948727</v>
      </c>
      <c r="F72" s="62">
        <f>VLOOKUP(E72,Data!F:F,1,0)</f>
        <v>5948727</v>
      </c>
      <c r="G72" s="62">
        <v>20611563435</v>
      </c>
      <c r="H72" s="62">
        <f>VLOOKUP(G72,Data!H:H,1,0)</f>
        <v>20611563435</v>
      </c>
      <c r="J72" s="62">
        <v>5948363</v>
      </c>
      <c r="K72" s="92">
        <v>46160</v>
      </c>
      <c r="L72" s="92">
        <v>46160</v>
      </c>
    </row>
    <row r="73" spans="5:12">
      <c r="E73" s="62">
        <v>5948633</v>
      </c>
      <c r="F73" s="62">
        <f>VLOOKUP(E73,Data!F:F,1,0)</f>
        <v>5948633</v>
      </c>
      <c r="G73" s="62">
        <v>20612913359</v>
      </c>
      <c r="H73" s="62">
        <f>VLOOKUP(G73,Data!H:H,1,0)</f>
        <v>20612913359</v>
      </c>
      <c r="J73" s="62">
        <v>5948727</v>
      </c>
      <c r="K73" s="92">
        <v>46160</v>
      </c>
      <c r="L73" s="92">
        <v>46162</v>
      </c>
    </row>
    <row r="74" spans="5:12">
      <c r="E74" s="62">
        <v>5949069</v>
      </c>
      <c r="F74" s="62">
        <f>VLOOKUP(E74,Data!F:F,1,0)</f>
        <v>5949069</v>
      </c>
      <c r="G74" s="62">
        <v>20611402555</v>
      </c>
      <c r="H74" s="62">
        <f>VLOOKUP(G74,Data!H:H,1,0)</f>
        <v>20611402555</v>
      </c>
      <c r="J74" s="62">
        <v>5948633</v>
      </c>
      <c r="K74" s="92">
        <v>46161</v>
      </c>
      <c r="L74" s="92">
        <v>46161</v>
      </c>
    </row>
    <row r="75" spans="5:12">
      <c r="E75" s="62">
        <v>5949498</v>
      </c>
      <c r="F75" s="62">
        <f>VLOOKUP(E75,Data!F:F,1,0)</f>
        <v>5949498</v>
      </c>
      <c r="G75" s="62">
        <v>10164731435</v>
      </c>
      <c r="H75" s="62">
        <f>VLOOKUP(G75,Data!H:H,1,0)</f>
        <v>10164731435</v>
      </c>
      <c r="J75" s="62">
        <v>5949069</v>
      </c>
      <c r="K75" s="92">
        <v>46162</v>
      </c>
      <c r="L75" s="92">
        <v>46162</v>
      </c>
    </row>
    <row r="76" spans="5:12">
      <c r="E76" s="62">
        <v>5949568</v>
      </c>
      <c r="F76" s="62">
        <f>VLOOKUP(E76,Data!F:F,1,0)</f>
        <v>5949568</v>
      </c>
      <c r="G76" s="62">
        <v>10718173561</v>
      </c>
      <c r="H76" s="62">
        <f>VLOOKUP(G76,Data!H:H,1,0)</f>
        <v>10718173561</v>
      </c>
      <c r="J76" s="62">
        <v>5949498</v>
      </c>
      <c r="K76" s="92">
        <v>46163</v>
      </c>
      <c r="L76" s="92">
        <v>46163</v>
      </c>
    </row>
    <row r="77" spans="5:12">
      <c r="E77" s="62">
        <v>1058642</v>
      </c>
      <c r="F77" s="62">
        <f>VLOOKUP(E77,Data!F:F,1,0)</f>
        <v>1058642</v>
      </c>
      <c r="G77" s="62">
        <v>20611972246</v>
      </c>
      <c r="H77" s="62">
        <f>VLOOKUP(G77,Data!H:H,1,0)</f>
        <v>20611972246</v>
      </c>
      <c r="J77" s="62">
        <v>5949568</v>
      </c>
      <c r="K77" s="92">
        <v>46163</v>
      </c>
      <c r="L77" s="92">
        <v>46163</v>
      </c>
    </row>
    <row r="78" spans="5:12">
      <c r="E78" s="62">
        <v>1058616</v>
      </c>
      <c r="F78" s="62">
        <f>VLOOKUP(E78,Data!F:F,1,0)</f>
        <v>1058616</v>
      </c>
      <c r="G78" s="62">
        <v>20615080901</v>
      </c>
      <c r="H78" s="62">
        <f>VLOOKUP(G78,Data!H:H,1,0)</f>
        <v>20615080901</v>
      </c>
      <c r="J78" s="62">
        <v>1058642</v>
      </c>
      <c r="K78" s="92">
        <v>46163</v>
      </c>
    </row>
    <row r="79" spans="5:12">
      <c r="E79" s="62">
        <v>1058648</v>
      </c>
      <c r="F79" s="62">
        <f>VLOOKUP(E79,Data!F:F,1,0)</f>
        <v>1058648</v>
      </c>
      <c r="G79" s="62">
        <v>20608874055</v>
      </c>
      <c r="H79" s="62">
        <f>VLOOKUP(G79,Data!H:H,1,0)</f>
        <v>20608874055</v>
      </c>
      <c r="J79" s="62">
        <v>1058616</v>
      </c>
      <c r="K79" s="92">
        <v>46163</v>
      </c>
      <c r="L79" s="92">
        <v>46165</v>
      </c>
    </row>
    <row r="80" spans="5:12">
      <c r="E80" s="62">
        <v>1058662</v>
      </c>
      <c r="F80" s="62">
        <f>VLOOKUP(E80,Data!F:F,1,0)</f>
        <v>1058662</v>
      </c>
      <c r="G80" s="62">
        <v>20608874055</v>
      </c>
      <c r="H80" s="62">
        <f>VLOOKUP(G80,Data!H:H,1,0)</f>
        <v>20608874055</v>
      </c>
      <c r="J80" s="62">
        <v>1058648</v>
      </c>
      <c r="K80" s="92">
        <v>46167</v>
      </c>
      <c r="L80" s="92">
        <v>46172</v>
      </c>
    </row>
    <row r="81" spans="5:12">
      <c r="F81" s="62" t="e">
        <f>VLOOKUP(E81,Data!F:F,1,0)</f>
        <v>#N/A</v>
      </c>
      <c r="G81" s="62">
        <v>20604305102</v>
      </c>
      <c r="H81" s="62">
        <f>VLOOKUP(G81,Data!H:H,1,0)</f>
        <v>20604305102</v>
      </c>
      <c r="J81" s="62">
        <v>1058662</v>
      </c>
      <c r="K81" s="92">
        <v>46167</v>
      </c>
      <c r="L81" s="92">
        <v>46172</v>
      </c>
    </row>
    <row r="82" spans="5:12">
      <c r="E82" s="62">
        <v>5951217</v>
      </c>
      <c r="F82" s="62">
        <f>VLOOKUP(E82,Data!F:F,1,0)</f>
        <v>5951217</v>
      </c>
      <c r="G82" s="62">
        <v>20603692421</v>
      </c>
      <c r="H82" s="62">
        <f>VLOOKUP(G82,Data!H:H,1,0)</f>
        <v>20603692421</v>
      </c>
      <c r="K82" s="92">
        <v>46167</v>
      </c>
      <c r="L82" s="92">
        <v>46167</v>
      </c>
    </row>
    <row r="83" spans="5:12">
      <c r="E83" s="62">
        <v>5951239</v>
      </c>
      <c r="F83" s="62">
        <f>VLOOKUP(E83,Data!F:F,1,0)</f>
        <v>5951239</v>
      </c>
      <c r="G83" s="62">
        <v>20603692421</v>
      </c>
      <c r="H83" s="62">
        <f>VLOOKUP(G83,Data!H:H,1,0)</f>
        <v>20603692421</v>
      </c>
      <c r="J83" s="62">
        <v>5951217</v>
      </c>
      <c r="K83" s="92">
        <v>46167</v>
      </c>
      <c r="L83" s="92">
        <v>46174</v>
      </c>
    </row>
    <row r="84" spans="5:12">
      <c r="E84" s="62">
        <v>5951532</v>
      </c>
      <c r="F84" s="62">
        <f>VLOOKUP(E84,Data!F:F,1,0)</f>
        <v>5951532</v>
      </c>
      <c r="G84" s="62">
        <v>20611895110</v>
      </c>
      <c r="H84" s="62">
        <f>VLOOKUP(G84,Data!H:H,1,0)</f>
        <v>20611895110</v>
      </c>
      <c r="J84" s="62">
        <v>5951239</v>
      </c>
      <c r="K84" s="92">
        <v>46167</v>
      </c>
      <c r="L84" s="92">
        <v>46174</v>
      </c>
    </row>
    <row r="85" spans="5:12">
      <c r="E85" s="62">
        <v>5951698</v>
      </c>
      <c r="F85" s="62">
        <f>VLOOKUP(E85,Data!F:F,1,0)</f>
        <v>5951698</v>
      </c>
      <c r="G85" s="62">
        <v>20613702629</v>
      </c>
      <c r="H85" s="62">
        <f>VLOOKUP(G85,Data!H:H,1,0)</f>
        <v>20613702629</v>
      </c>
      <c r="J85" s="62">
        <v>5951532</v>
      </c>
      <c r="K85" s="92">
        <v>46168</v>
      </c>
      <c r="L85" s="92">
        <v>46168</v>
      </c>
    </row>
    <row r="86" spans="5:12">
      <c r="E86" s="62">
        <v>5951722</v>
      </c>
      <c r="F86" s="62">
        <f>VLOOKUP(E86,Data!F:F,1,0)</f>
        <v>5951722</v>
      </c>
      <c r="G86" s="62">
        <v>20613702629</v>
      </c>
      <c r="H86" s="62">
        <f>VLOOKUP(G86,Data!H:H,1,0)</f>
        <v>20613702629</v>
      </c>
      <c r="J86" s="62">
        <v>5951698</v>
      </c>
      <c r="K86" s="92">
        <v>46168</v>
      </c>
      <c r="L86" s="92">
        <v>46169</v>
      </c>
    </row>
    <row r="87" spans="5:12">
      <c r="E87" s="62">
        <v>1058712</v>
      </c>
      <c r="F87" s="62">
        <f>VLOOKUP(E87,Data!F:F,1,0)</f>
        <v>1058712</v>
      </c>
      <c r="G87" s="62">
        <v>20607818526</v>
      </c>
      <c r="H87" s="62">
        <f>VLOOKUP(G87,Data!H:H,1,0)</f>
        <v>20607818526</v>
      </c>
      <c r="J87" s="62">
        <v>5951722</v>
      </c>
      <c r="K87" s="92">
        <v>46168</v>
      </c>
      <c r="L87" s="92">
        <v>46169</v>
      </c>
    </row>
    <row r="88" spans="5:12">
      <c r="E88" s="62">
        <v>5952607</v>
      </c>
      <c r="F88" s="62">
        <f>VLOOKUP(E88,Data!F:F,1,0)</f>
        <v>5952607</v>
      </c>
      <c r="G88" s="62">
        <v>20611374420</v>
      </c>
      <c r="H88" s="62">
        <f>VLOOKUP(G88,Data!H:H,1,0)</f>
        <v>20611374420</v>
      </c>
      <c r="J88" s="62">
        <v>1058712</v>
      </c>
      <c r="K88" s="92">
        <v>46168</v>
      </c>
      <c r="L88" s="92">
        <v>46170</v>
      </c>
    </row>
    <row r="89" spans="5:12">
      <c r="E89" s="62">
        <v>5952853</v>
      </c>
      <c r="F89" s="62">
        <f>VLOOKUP(E89,Data!F:F,1,0)</f>
        <v>5952853</v>
      </c>
      <c r="G89" s="62">
        <v>10477313928</v>
      </c>
      <c r="H89" s="62">
        <f>VLOOKUP(G89,Data!H:H,1,0)</f>
        <v>10477313928</v>
      </c>
      <c r="J89" s="62">
        <v>5952607</v>
      </c>
      <c r="K89" s="92">
        <v>46170</v>
      </c>
      <c r="L89" s="92">
        <v>46170</v>
      </c>
    </row>
    <row r="90" spans="5:12">
      <c r="F90" s="62" t="e">
        <f>VLOOKUP(E90,Data!F:F,1,0)</f>
        <v>#N/A</v>
      </c>
      <c r="G90" s="62">
        <v>10477313928</v>
      </c>
      <c r="H90" s="62">
        <f>VLOOKUP(G90,Data!H:H,1,0)</f>
        <v>10477313928</v>
      </c>
      <c r="J90" s="62">
        <v>5952853</v>
      </c>
      <c r="K90" s="92">
        <v>46170</v>
      </c>
      <c r="L90" s="92">
        <v>46170</v>
      </c>
    </row>
    <row r="91" spans="5:12">
      <c r="E91" s="62">
        <v>5953111</v>
      </c>
      <c r="F91" s="62">
        <f>VLOOKUP(E91,Data!F:F,1,0)</f>
        <v>5953111</v>
      </c>
      <c r="G91" s="62">
        <v>20614355221</v>
      </c>
      <c r="H91" s="62">
        <f>VLOOKUP(G91,Data!H:H,1,0)</f>
        <v>20614355221</v>
      </c>
      <c r="K91" s="92">
        <v>46170</v>
      </c>
      <c r="L91" s="92">
        <v>46170</v>
      </c>
    </row>
    <row r="92" spans="5:12">
      <c r="E92" s="62">
        <v>5953114</v>
      </c>
      <c r="F92" s="62">
        <f>VLOOKUP(E92,Data!F:F,1,0)</f>
        <v>5953114</v>
      </c>
      <c r="G92" s="62">
        <v>20614355221</v>
      </c>
      <c r="H92" s="62">
        <f>VLOOKUP(G92,Data!H:H,1,0)</f>
        <v>20614355221</v>
      </c>
      <c r="J92" s="62">
        <v>5953111</v>
      </c>
      <c r="K92" s="92">
        <v>46171</v>
      </c>
      <c r="L92" s="92">
        <v>46171</v>
      </c>
    </row>
    <row r="93" spans="5:12">
      <c r="E93" s="62">
        <v>5953129</v>
      </c>
      <c r="F93" s="62">
        <f>VLOOKUP(E93,Data!F:F,1,0)</f>
        <v>5953129</v>
      </c>
      <c r="G93" s="62">
        <v>20614355221</v>
      </c>
      <c r="H93" s="62">
        <f>VLOOKUP(G93,Data!H:H,1,0)</f>
        <v>20614355221</v>
      </c>
      <c r="J93" s="62">
        <v>5953114</v>
      </c>
      <c r="K93" s="92">
        <v>46171</v>
      </c>
      <c r="L93" s="92">
        <v>46171</v>
      </c>
    </row>
    <row r="94" spans="5:12">
      <c r="E94" s="62">
        <v>5953142</v>
      </c>
      <c r="F94" s="62">
        <f>VLOOKUP(E94,Data!F:F,1,0)</f>
        <v>5953142</v>
      </c>
      <c r="G94" s="62">
        <v>20614355221</v>
      </c>
      <c r="H94" s="62">
        <f>VLOOKUP(G94,Data!H:H,1,0)</f>
        <v>20614355221</v>
      </c>
      <c r="J94" s="62">
        <v>5953129</v>
      </c>
      <c r="K94" s="92">
        <v>46171</v>
      </c>
      <c r="L94" s="92">
        <v>46171</v>
      </c>
    </row>
    <row r="95" spans="5:12">
      <c r="E95" s="62">
        <v>5953155</v>
      </c>
      <c r="F95" s="62">
        <f>VLOOKUP(E95,Data!F:F,1,0)</f>
        <v>5953155</v>
      </c>
      <c r="G95" s="62">
        <v>20614355221</v>
      </c>
      <c r="H95" s="62">
        <f>VLOOKUP(G95,Data!H:H,1,0)</f>
        <v>20614355221</v>
      </c>
      <c r="J95" s="62">
        <v>5953142</v>
      </c>
      <c r="K95" s="92">
        <v>46171</v>
      </c>
      <c r="L95" s="92">
        <v>46171</v>
      </c>
    </row>
    <row r="96" spans="5:12">
      <c r="E96" s="62">
        <v>5035956</v>
      </c>
      <c r="F96" s="62">
        <f>VLOOKUP(E96,Data!F:F,1,0)</f>
        <v>5035956</v>
      </c>
      <c r="G96" s="62">
        <v>20509678244</v>
      </c>
      <c r="H96" s="62">
        <f>VLOOKUP(G96,Data!H:H,1,0)</f>
        <v>20509678244</v>
      </c>
      <c r="J96" s="62">
        <v>5953155</v>
      </c>
      <c r="K96" s="92">
        <v>46171</v>
      </c>
      <c r="L96" s="92">
        <v>46171</v>
      </c>
    </row>
    <row r="97" spans="5:12">
      <c r="E97" s="62">
        <v>1058826</v>
      </c>
      <c r="F97" s="62">
        <f>VLOOKUP(E97,Data!F:F,1,0)</f>
        <v>1058826</v>
      </c>
      <c r="G97" s="62">
        <v>20609012197</v>
      </c>
      <c r="H97" s="62">
        <f>VLOOKUP(G97,Data!H:H,1,0)</f>
        <v>20609012197</v>
      </c>
      <c r="J97" s="62">
        <v>5035956</v>
      </c>
      <c r="K97" s="92">
        <v>46171</v>
      </c>
      <c r="L97" s="92">
        <v>46174</v>
      </c>
    </row>
    <row r="98" spans="5:12">
      <c r="E98" s="62">
        <v>5954426</v>
      </c>
      <c r="F98" s="62">
        <f>VLOOKUP(E98,Data!F:F,1,0)</f>
        <v>5954426</v>
      </c>
      <c r="G98" s="62">
        <v>10402573452</v>
      </c>
      <c r="H98" s="62">
        <f>VLOOKUP(G98,Data!H:H,1,0)</f>
        <v>10402573452</v>
      </c>
      <c r="J98" s="62">
        <v>1058826</v>
      </c>
      <c r="K98" s="92">
        <v>46174</v>
      </c>
    </row>
    <row r="99" spans="5:12">
      <c r="E99" s="62">
        <v>5954680</v>
      </c>
      <c r="F99" s="62">
        <f>VLOOKUP(E99,Data!F:F,1,0)</f>
        <v>5954680</v>
      </c>
      <c r="G99" s="62">
        <v>20615781003</v>
      </c>
      <c r="H99" s="62">
        <f>VLOOKUP(G99,Data!H:H,1,0)</f>
        <v>20615781003</v>
      </c>
      <c r="J99" s="62">
        <v>5954426</v>
      </c>
      <c r="K99" s="92">
        <v>46174</v>
      </c>
      <c r="L99" s="92">
        <v>46175</v>
      </c>
    </row>
    <row r="100" spans="5:12">
      <c r="E100" s="62">
        <v>5954686</v>
      </c>
      <c r="F100" s="62">
        <f>VLOOKUP(E100,Data!F:F,1,0)</f>
        <v>5954686</v>
      </c>
      <c r="G100" s="62">
        <v>20615781003</v>
      </c>
      <c r="H100" s="62">
        <f>VLOOKUP(G100,Data!H:H,1,0)</f>
        <v>20615781003</v>
      </c>
      <c r="J100" s="62">
        <v>5954680</v>
      </c>
      <c r="K100" s="92">
        <v>46175</v>
      </c>
      <c r="L100" s="92">
        <v>46175</v>
      </c>
    </row>
    <row r="101" spans="5:12">
      <c r="E101" s="62">
        <v>1059001</v>
      </c>
      <c r="F101" s="62">
        <f>VLOOKUP(E101,Data!F:F,1,0)</f>
        <v>1059001</v>
      </c>
      <c r="G101" s="62">
        <v>20488026641</v>
      </c>
      <c r="H101" s="62">
        <f>VLOOKUP(G101,Data!H:H,1,0)</f>
        <v>20488026641</v>
      </c>
      <c r="J101" s="62">
        <v>5954686</v>
      </c>
      <c r="K101" s="92">
        <v>46175</v>
      </c>
      <c r="L101" s="92">
        <v>46175</v>
      </c>
    </row>
    <row r="102" spans="5:12">
      <c r="E102" s="62">
        <v>5954895</v>
      </c>
      <c r="F102" s="62">
        <f>VLOOKUP(E102,Data!F:F,1,0)</f>
        <v>5954895</v>
      </c>
      <c r="G102" s="62">
        <v>20614514338</v>
      </c>
      <c r="H102" s="62">
        <f>VLOOKUP(G102,Data!H:H,1,0)</f>
        <v>20614514338</v>
      </c>
      <c r="J102" s="62">
        <v>1059001</v>
      </c>
      <c r="K102" s="92">
        <v>46175</v>
      </c>
    </row>
    <row r="103" spans="5:12">
      <c r="E103" s="62">
        <v>5954902</v>
      </c>
      <c r="F103" s="62">
        <f>VLOOKUP(E103,Data!F:F,1,0)</f>
        <v>5954902</v>
      </c>
      <c r="G103" s="62">
        <v>20614514338</v>
      </c>
      <c r="H103" s="62">
        <f>VLOOKUP(G103,Data!H:H,1,0)</f>
        <v>20614514338</v>
      </c>
      <c r="J103" s="62">
        <v>5954895</v>
      </c>
      <c r="K103" s="92">
        <v>46175</v>
      </c>
      <c r="L103" s="92">
        <v>46176</v>
      </c>
    </row>
    <row r="104" spans="5:12">
      <c r="E104" s="62">
        <v>5954905</v>
      </c>
      <c r="F104" s="62">
        <f>VLOOKUP(E104,Data!F:F,1,0)</f>
        <v>5954905</v>
      </c>
      <c r="G104" s="62">
        <v>20614514338</v>
      </c>
      <c r="H104" s="62">
        <f>VLOOKUP(G104,Data!H:H,1,0)</f>
        <v>20614514338</v>
      </c>
      <c r="J104" s="62">
        <v>5954902</v>
      </c>
      <c r="K104" s="92">
        <v>46175</v>
      </c>
      <c r="L104" s="92">
        <v>46176</v>
      </c>
    </row>
    <row r="105" spans="5:12">
      <c r="E105" s="62">
        <v>5954878</v>
      </c>
      <c r="F105" s="62">
        <f>VLOOKUP(E105,Data!F:F,1,0)</f>
        <v>5954878</v>
      </c>
      <c r="G105" s="62">
        <v>20614514338</v>
      </c>
      <c r="H105" s="62">
        <f>VLOOKUP(G105,Data!H:H,1,0)</f>
        <v>20614514338</v>
      </c>
      <c r="J105" s="62">
        <v>5954905</v>
      </c>
      <c r="K105" s="92">
        <v>46175</v>
      </c>
      <c r="L105" s="92">
        <v>46176</v>
      </c>
    </row>
    <row r="106" spans="5:12">
      <c r="F106" s="62" t="e">
        <f>VLOOKUP(E106,Data!F:F,1,0)</f>
        <v>#N/A</v>
      </c>
      <c r="G106" s="62">
        <v>20614387654</v>
      </c>
      <c r="H106" s="62">
        <f>VLOOKUP(G106,Data!H:H,1,0)</f>
        <v>20614387654</v>
      </c>
      <c r="J106" s="62">
        <v>5954878</v>
      </c>
      <c r="K106" s="92">
        <v>46175</v>
      </c>
      <c r="L106" s="92">
        <v>46176</v>
      </c>
    </row>
    <row r="107" spans="5:12">
      <c r="E107" s="62">
        <v>5954957</v>
      </c>
      <c r="F107" s="62">
        <f>VLOOKUP(E107,Data!F:F,1,0)</f>
        <v>5954957</v>
      </c>
      <c r="G107" s="62">
        <v>20449499540</v>
      </c>
      <c r="H107" s="62">
        <f>VLOOKUP(G107,Data!H:H,1,0)</f>
        <v>20449499540</v>
      </c>
      <c r="K107" s="92">
        <v>46175</v>
      </c>
    </row>
    <row r="108" spans="5:12">
      <c r="E108" s="62">
        <v>4081427</v>
      </c>
      <c r="F108" s="62">
        <f>VLOOKUP(E108,Data!F:F,1,0)</f>
        <v>4081427</v>
      </c>
      <c r="G108" s="62">
        <v>20612053384</v>
      </c>
      <c r="H108" s="62">
        <f>VLOOKUP(G108,Data!H:H,1,0)</f>
        <v>20612053384</v>
      </c>
      <c r="J108" s="62">
        <v>5954957</v>
      </c>
      <c r="K108" s="92">
        <v>46175</v>
      </c>
      <c r="L108" s="92">
        <v>46179</v>
      </c>
    </row>
    <row r="109" spans="5:12">
      <c r="E109" s="62">
        <v>4081428</v>
      </c>
      <c r="F109" s="62">
        <f>VLOOKUP(E109,Data!F:F,1,0)</f>
        <v>4081428</v>
      </c>
      <c r="G109" s="62">
        <v>20612053384</v>
      </c>
      <c r="H109" s="62">
        <f>VLOOKUP(G109,Data!H:H,1,0)</f>
        <v>20612053384</v>
      </c>
      <c r="J109" s="62">
        <v>4081427</v>
      </c>
      <c r="K109" s="92">
        <v>46176</v>
      </c>
    </row>
    <row r="110" spans="5:12">
      <c r="E110" s="62">
        <v>4081435</v>
      </c>
      <c r="F110" s="62">
        <f>VLOOKUP(E110,Data!F:F,1,0)</f>
        <v>4081435</v>
      </c>
      <c r="G110" s="62">
        <v>20612053384</v>
      </c>
      <c r="H110" s="62">
        <f>VLOOKUP(G110,Data!H:H,1,0)</f>
        <v>20612053384</v>
      </c>
      <c r="J110" s="62">
        <v>4081428</v>
      </c>
      <c r="K110" s="92">
        <v>46176</v>
      </c>
    </row>
    <row r="111" spans="5:12">
      <c r="E111" s="62">
        <v>4081436</v>
      </c>
      <c r="F111" s="62">
        <f>VLOOKUP(E111,Data!F:F,1,0)</f>
        <v>4081436</v>
      </c>
      <c r="G111" s="62">
        <v>20612053384</v>
      </c>
      <c r="H111" s="62">
        <f>VLOOKUP(G111,Data!H:H,1,0)</f>
        <v>20612053384</v>
      </c>
      <c r="J111" s="62">
        <v>4081435</v>
      </c>
      <c r="K111" s="92">
        <v>46176</v>
      </c>
    </row>
    <row r="112" spans="5:12">
      <c r="E112" s="62">
        <v>5955460</v>
      </c>
      <c r="F112" s="62">
        <f>VLOOKUP(E112,Data!F:F,1,0)</f>
        <v>5955460</v>
      </c>
      <c r="G112" s="62">
        <v>20613633601</v>
      </c>
      <c r="H112" s="62">
        <f>VLOOKUP(G112,Data!H:H,1,0)</f>
        <v>20613633601</v>
      </c>
      <c r="J112" s="62">
        <v>4081436</v>
      </c>
      <c r="K112" s="92">
        <v>46176</v>
      </c>
    </row>
    <row r="113" spans="5:12">
      <c r="E113" s="62">
        <v>5955465</v>
      </c>
      <c r="F113" s="62">
        <f>VLOOKUP(E113,Data!F:F,1,0)</f>
        <v>5955465</v>
      </c>
      <c r="G113" s="62">
        <v>20613633601</v>
      </c>
      <c r="H113" s="62">
        <f>VLOOKUP(G113,Data!H:H,1,0)</f>
        <v>20613633601</v>
      </c>
      <c r="J113" s="62">
        <v>5955460</v>
      </c>
      <c r="K113" s="92">
        <v>46176</v>
      </c>
      <c r="L113" s="92">
        <v>46176</v>
      </c>
    </row>
    <row r="114" spans="5:12">
      <c r="E114" s="62">
        <v>5955472</v>
      </c>
      <c r="F114" s="62">
        <f>VLOOKUP(E114,Data!F:F,1,0)</f>
        <v>5955472</v>
      </c>
      <c r="G114" s="62">
        <v>20613633601</v>
      </c>
      <c r="H114" s="62">
        <f>VLOOKUP(G114,Data!H:H,1,0)</f>
        <v>20613633601</v>
      </c>
      <c r="J114" s="62">
        <v>5955465</v>
      </c>
      <c r="K114" s="92">
        <v>46176</v>
      </c>
      <c r="L114" s="92">
        <v>46176</v>
      </c>
    </row>
    <row r="115" spans="5:12">
      <c r="E115" s="62">
        <v>5955497</v>
      </c>
      <c r="F115" s="62">
        <f>VLOOKUP(E115,Data!F:F,1,0)</f>
        <v>5955497</v>
      </c>
      <c r="G115" s="62">
        <v>20613633601</v>
      </c>
      <c r="H115" s="62">
        <f>VLOOKUP(G115,Data!H:H,1,0)</f>
        <v>20613633601</v>
      </c>
      <c r="J115" s="62">
        <v>5955472</v>
      </c>
      <c r="K115" s="92">
        <v>46176</v>
      </c>
      <c r="L115" s="92">
        <v>46176</v>
      </c>
    </row>
    <row r="116" spans="5:12">
      <c r="E116" s="62">
        <v>5955502</v>
      </c>
      <c r="F116" s="62">
        <f>VLOOKUP(E116,Data!F:F,1,0)</f>
        <v>5955502</v>
      </c>
      <c r="G116" s="62">
        <v>20613633601</v>
      </c>
      <c r="H116" s="62">
        <f>VLOOKUP(G116,Data!H:H,1,0)</f>
        <v>20613633601</v>
      </c>
      <c r="J116" s="62">
        <v>5955497</v>
      </c>
      <c r="K116" s="92">
        <v>46176</v>
      </c>
      <c r="L116" s="92">
        <v>46176</v>
      </c>
    </row>
    <row r="117" spans="5:12">
      <c r="E117" s="62">
        <v>5955513</v>
      </c>
      <c r="F117" s="62">
        <f>VLOOKUP(E117,Data!F:F,1,0)</f>
        <v>5955513</v>
      </c>
      <c r="G117" s="62">
        <v>20613633601</v>
      </c>
      <c r="H117" s="62">
        <f>VLOOKUP(G117,Data!H:H,1,0)</f>
        <v>20613633601</v>
      </c>
      <c r="J117" s="62">
        <v>5955502</v>
      </c>
      <c r="K117" s="92">
        <v>46176</v>
      </c>
      <c r="L117" s="92">
        <v>46176</v>
      </c>
    </row>
    <row r="118" spans="5:12">
      <c r="E118" s="62">
        <v>5955516</v>
      </c>
      <c r="F118" s="62">
        <f>VLOOKUP(E118,Data!F:F,1,0)</f>
        <v>5955516</v>
      </c>
      <c r="G118" s="62">
        <v>20613633601</v>
      </c>
      <c r="H118" s="62">
        <f>VLOOKUP(G118,Data!H:H,1,0)</f>
        <v>20613633601</v>
      </c>
      <c r="J118" s="62">
        <v>5955513</v>
      </c>
      <c r="K118" s="92">
        <v>46176</v>
      </c>
      <c r="L118" s="92">
        <v>46176</v>
      </c>
    </row>
    <row r="119" spans="5:12">
      <c r="E119" s="62">
        <v>5955519</v>
      </c>
      <c r="F119" s="62">
        <f>VLOOKUP(E119,Data!F:F,1,0)</f>
        <v>5955519</v>
      </c>
      <c r="G119" s="62">
        <v>20613633601</v>
      </c>
      <c r="H119" s="62">
        <f>VLOOKUP(G119,Data!H:H,1,0)</f>
        <v>20613633601</v>
      </c>
      <c r="J119" s="62">
        <v>5955516</v>
      </c>
      <c r="K119" s="92">
        <v>46176</v>
      </c>
      <c r="L119" s="92">
        <v>46176</v>
      </c>
    </row>
    <row r="120" spans="5:12">
      <c r="E120" s="62">
        <v>5955405</v>
      </c>
      <c r="F120" s="62">
        <f>VLOOKUP(E120,Data!F:F,1,0)</f>
        <v>5955405</v>
      </c>
      <c r="G120" s="62">
        <v>20612334499</v>
      </c>
      <c r="H120" s="62">
        <f>VLOOKUP(G120,Data!H:H,1,0)</f>
        <v>20612334499</v>
      </c>
      <c r="J120" s="62">
        <v>5955519</v>
      </c>
      <c r="K120" s="92">
        <v>46176</v>
      </c>
      <c r="L120" s="92">
        <v>46176</v>
      </c>
    </row>
    <row r="121" spans="5:12">
      <c r="E121" s="62">
        <v>5955684</v>
      </c>
      <c r="F121" s="62">
        <f>VLOOKUP(E121,Data!F:F,1,0)</f>
        <v>5955684</v>
      </c>
      <c r="G121" s="62">
        <v>10078853111</v>
      </c>
      <c r="H121" s="62">
        <f>VLOOKUP(G121,Data!H:H,1,0)</f>
        <v>10078853111</v>
      </c>
      <c r="J121" s="62">
        <v>5955405</v>
      </c>
      <c r="K121" s="92">
        <v>46176</v>
      </c>
      <c r="L121" s="92">
        <v>46176</v>
      </c>
    </row>
    <row r="122" spans="5:12">
      <c r="E122" s="62">
        <v>5955807</v>
      </c>
      <c r="F122" s="62">
        <f>VLOOKUP(E122,Data!F:F,1,0)</f>
        <v>5955807</v>
      </c>
      <c r="G122" s="62">
        <v>10078853111</v>
      </c>
      <c r="H122" s="62">
        <f>VLOOKUP(G122,Data!H:H,1,0)</f>
        <v>10078853111</v>
      </c>
      <c r="J122" s="62">
        <v>5955684</v>
      </c>
      <c r="K122" s="92">
        <v>46177</v>
      </c>
      <c r="L122" s="92">
        <v>46177</v>
      </c>
    </row>
    <row r="123" spans="5:12">
      <c r="E123" s="62">
        <v>1058852</v>
      </c>
      <c r="F123" s="62">
        <f>VLOOKUP(E123,Data!F:F,1,0)</f>
        <v>1058852</v>
      </c>
      <c r="G123" s="62">
        <v>20613698052</v>
      </c>
      <c r="H123" s="62">
        <f>VLOOKUP(G123,Data!H:H,1,0)</f>
        <v>20613698052</v>
      </c>
      <c r="J123" s="62">
        <v>5955807</v>
      </c>
      <c r="K123" s="92">
        <v>46177</v>
      </c>
      <c r="L123" s="92">
        <v>46177</v>
      </c>
    </row>
    <row r="124" spans="5:12">
      <c r="E124" s="62">
        <v>1058842</v>
      </c>
      <c r="F124" s="62">
        <f>VLOOKUP(E124,Data!F:F,1,0)</f>
        <v>1058842</v>
      </c>
      <c r="G124" s="62">
        <v>20608926888</v>
      </c>
      <c r="H124" s="62">
        <f>VLOOKUP(G124,Data!H:H,1,0)</f>
        <v>20608926888</v>
      </c>
      <c r="J124" s="62">
        <v>1058852</v>
      </c>
      <c r="K124" s="92">
        <v>46177</v>
      </c>
    </row>
    <row r="125" spans="5:12">
      <c r="E125" s="62">
        <v>1058974</v>
      </c>
      <c r="F125" s="62">
        <f>VLOOKUP(E125,Data!F:F,1,0)</f>
        <v>1058974</v>
      </c>
      <c r="G125" s="62">
        <v>20612784796</v>
      </c>
      <c r="H125" s="62">
        <f>VLOOKUP(G125,Data!H:H,1,0)</f>
        <v>20612784796</v>
      </c>
      <c r="J125" s="62">
        <v>1058842</v>
      </c>
      <c r="K125" s="92">
        <v>46177</v>
      </c>
    </row>
    <row r="126" spans="5:12">
      <c r="E126" s="62">
        <v>1058976</v>
      </c>
      <c r="F126" s="62">
        <f>VLOOKUP(E126,Data!F:F,1,0)</f>
        <v>1058976</v>
      </c>
      <c r="G126" s="62">
        <v>20609006405</v>
      </c>
      <c r="H126" s="62">
        <f>VLOOKUP(G126,Data!H:H,1,0)</f>
        <v>20609006405</v>
      </c>
      <c r="J126" s="62">
        <v>1058974</v>
      </c>
      <c r="K126" s="92">
        <v>46177</v>
      </c>
      <c r="L126" s="92">
        <v>46185</v>
      </c>
    </row>
    <row r="127" spans="5:12">
      <c r="E127" s="62">
        <v>5347565</v>
      </c>
      <c r="F127" s="62">
        <f>VLOOKUP(E127,Data!F:F,1,0)</f>
        <v>5347565</v>
      </c>
      <c r="G127" s="62">
        <v>20605844058</v>
      </c>
      <c r="H127" s="62">
        <f>VLOOKUP(G127,Data!H:H,1,0)</f>
        <v>20605844058</v>
      </c>
      <c r="J127" s="62">
        <v>1058976</v>
      </c>
      <c r="K127" s="92">
        <v>46177</v>
      </c>
    </row>
    <row r="128" spans="5:12">
      <c r="E128" s="62">
        <v>5347569</v>
      </c>
      <c r="F128" s="62">
        <f>VLOOKUP(E128,Data!F:F,1,0)</f>
        <v>5347569</v>
      </c>
      <c r="G128" s="62">
        <v>20605844058</v>
      </c>
      <c r="H128" s="62">
        <f>VLOOKUP(G128,Data!H:H,1,0)</f>
        <v>20605844058</v>
      </c>
      <c r="J128" s="62">
        <v>5347565</v>
      </c>
      <c r="K128" s="92">
        <v>46177</v>
      </c>
      <c r="L128" s="92">
        <v>46184</v>
      </c>
    </row>
    <row r="129" spans="5:12">
      <c r="E129" s="62">
        <v>5860524</v>
      </c>
      <c r="F129" s="62">
        <f>VLOOKUP(E129,Data!F:F,1,0)</f>
        <v>5860524</v>
      </c>
      <c r="G129" s="62">
        <v>20611450746</v>
      </c>
      <c r="H129" s="62">
        <f>VLOOKUP(G129,Data!H:H,1,0)</f>
        <v>20611450746</v>
      </c>
      <c r="J129" s="62">
        <v>5347569</v>
      </c>
      <c r="K129" s="92">
        <v>46177</v>
      </c>
      <c r="L129" s="92">
        <v>46184</v>
      </c>
    </row>
    <row r="130" spans="5:12">
      <c r="E130" s="62">
        <v>5860527</v>
      </c>
      <c r="F130" s="62">
        <f>VLOOKUP(E130,Data!F:F,1,0)</f>
        <v>5860527</v>
      </c>
      <c r="G130" s="62">
        <v>20611450746</v>
      </c>
      <c r="H130" s="62">
        <f>VLOOKUP(G130,Data!H:H,1,0)</f>
        <v>20611450746</v>
      </c>
      <c r="J130" s="62">
        <v>5860524</v>
      </c>
      <c r="K130" s="92">
        <v>46177</v>
      </c>
    </row>
    <row r="131" spans="5:12">
      <c r="E131" s="62">
        <v>5863496</v>
      </c>
      <c r="F131" s="62">
        <f>VLOOKUP(E131,Data!F:F,1,0)</f>
        <v>5863496</v>
      </c>
      <c r="G131" s="62">
        <v>20611450746</v>
      </c>
      <c r="H131" s="62">
        <f>VLOOKUP(G131,Data!H:H,1,0)</f>
        <v>20611450746</v>
      </c>
      <c r="J131" s="62">
        <v>5860527</v>
      </c>
      <c r="K131" s="92">
        <v>46177</v>
      </c>
    </row>
    <row r="132" spans="5:12">
      <c r="E132" s="62">
        <v>5860740</v>
      </c>
      <c r="F132" s="62">
        <f>VLOOKUP(E132,Data!F:F,1,0)</f>
        <v>5860740</v>
      </c>
      <c r="G132" s="62">
        <v>20611450746</v>
      </c>
      <c r="H132" s="62">
        <f>VLOOKUP(G132,Data!H:H,1,0)</f>
        <v>20611450746</v>
      </c>
      <c r="J132" s="62">
        <v>5863496</v>
      </c>
      <c r="K132" s="92">
        <v>46177</v>
      </c>
    </row>
    <row r="133" spans="5:12">
      <c r="E133" s="62">
        <v>5860545</v>
      </c>
      <c r="F133" s="62">
        <f>VLOOKUP(E133,Data!F:F,1,0)</f>
        <v>5860545</v>
      </c>
      <c r="G133" s="62">
        <v>20611450746</v>
      </c>
      <c r="H133" s="62">
        <f>VLOOKUP(G133,Data!H:H,1,0)</f>
        <v>20611450746</v>
      </c>
      <c r="J133" s="62">
        <v>5860740</v>
      </c>
      <c r="K133" s="92">
        <v>46177</v>
      </c>
    </row>
    <row r="134" spans="5:12">
      <c r="E134" s="62">
        <v>5863499</v>
      </c>
      <c r="F134" s="62">
        <f>VLOOKUP(E134,Data!F:F,1,0)</f>
        <v>5863499</v>
      </c>
      <c r="G134" s="62">
        <v>20611450746</v>
      </c>
      <c r="H134" s="62">
        <f>VLOOKUP(G134,Data!H:H,1,0)</f>
        <v>20611450746</v>
      </c>
      <c r="J134" s="62">
        <v>5860545</v>
      </c>
      <c r="K134" s="92">
        <v>46177</v>
      </c>
    </row>
    <row r="135" spans="5:12">
      <c r="E135" s="62">
        <v>5863495</v>
      </c>
      <c r="F135" s="62">
        <f>VLOOKUP(E135,Data!F:F,1,0)</f>
        <v>5863495</v>
      </c>
      <c r="G135" s="62">
        <v>20611450746</v>
      </c>
      <c r="H135" s="62">
        <f>VLOOKUP(G135,Data!H:H,1,0)</f>
        <v>20611450746</v>
      </c>
      <c r="J135" s="62">
        <v>5863499</v>
      </c>
      <c r="K135" s="92">
        <v>46177</v>
      </c>
    </row>
    <row r="136" spans="5:12">
      <c r="E136" s="62">
        <v>5863554</v>
      </c>
      <c r="F136" s="62">
        <f>VLOOKUP(E136,Data!F:F,1,0)</f>
        <v>5863554</v>
      </c>
      <c r="G136" s="62">
        <v>20611450746</v>
      </c>
      <c r="H136" s="62">
        <f>VLOOKUP(G136,Data!H:H,1,0)</f>
        <v>20611450746</v>
      </c>
      <c r="J136" s="62">
        <v>5863495</v>
      </c>
      <c r="K136" s="92">
        <v>46177</v>
      </c>
    </row>
    <row r="137" spans="5:12">
      <c r="E137" s="62">
        <v>5891141</v>
      </c>
      <c r="F137" s="62">
        <f>VLOOKUP(E137,Data!F:F,1,0)</f>
        <v>5891141</v>
      </c>
      <c r="G137" s="62">
        <v>20615004899</v>
      </c>
      <c r="H137" s="62">
        <f>VLOOKUP(G137,Data!H:H,1,0)</f>
        <v>20615004899</v>
      </c>
      <c r="J137" s="62">
        <v>5863554</v>
      </c>
      <c r="K137" s="92">
        <v>46177</v>
      </c>
    </row>
    <row r="138" spans="5:12">
      <c r="E138" s="62">
        <v>5891144</v>
      </c>
      <c r="F138" s="62">
        <f>VLOOKUP(E138,Data!F:F,1,0)</f>
        <v>5891144</v>
      </c>
      <c r="G138" s="62">
        <v>20615004899</v>
      </c>
      <c r="H138" s="62">
        <f>VLOOKUP(G138,Data!H:H,1,0)</f>
        <v>20615004899</v>
      </c>
      <c r="J138" s="62">
        <v>5891141</v>
      </c>
      <c r="K138" s="92">
        <v>46177</v>
      </c>
    </row>
    <row r="139" spans="5:12">
      <c r="E139" s="62">
        <v>5894351</v>
      </c>
      <c r="F139" s="62">
        <f>VLOOKUP(E139,Data!F:F,1,0)</f>
        <v>5894351</v>
      </c>
      <c r="G139" s="62">
        <v>20615004899</v>
      </c>
      <c r="H139" s="62">
        <f>VLOOKUP(G139,Data!H:H,1,0)</f>
        <v>20615004899</v>
      </c>
      <c r="J139" s="62">
        <v>5891144</v>
      </c>
      <c r="K139" s="92">
        <v>46177</v>
      </c>
    </row>
    <row r="140" spans="5:12">
      <c r="E140" s="62">
        <v>5894354</v>
      </c>
      <c r="F140" s="62">
        <f>VLOOKUP(E140,Data!F:F,1,0)</f>
        <v>5894354</v>
      </c>
      <c r="G140" s="62">
        <v>20615004899</v>
      </c>
      <c r="H140" s="62">
        <f>VLOOKUP(G140,Data!H:H,1,0)</f>
        <v>20615004899</v>
      </c>
      <c r="J140" s="62">
        <v>5894351</v>
      </c>
      <c r="K140" s="92">
        <v>46177</v>
      </c>
    </row>
    <row r="141" spans="5:12">
      <c r="E141" s="62">
        <v>5956180</v>
      </c>
      <c r="F141" s="62">
        <f>VLOOKUP(E141,Data!F:F,1,0)</f>
        <v>5956180</v>
      </c>
      <c r="G141" s="62">
        <v>20615897435</v>
      </c>
      <c r="H141" s="62">
        <f>VLOOKUP(G141,Data!H:H,1,0)</f>
        <v>20615897435</v>
      </c>
      <c r="J141" s="62">
        <v>5894354</v>
      </c>
      <c r="K141" s="92">
        <v>46177</v>
      </c>
    </row>
    <row r="142" spans="5:12">
      <c r="E142" s="62">
        <v>1059000</v>
      </c>
      <c r="F142" s="62">
        <f>VLOOKUP(E142,Data!F:F,1,0)</f>
        <v>1059000</v>
      </c>
      <c r="G142" s="62">
        <v>20172065598</v>
      </c>
      <c r="H142" s="62">
        <f>VLOOKUP(G142,Data!H:H,1,0)</f>
        <v>20172065598</v>
      </c>
      <c r="J142" s="62">
        <v>5956180</v>
      </c>
      <c r="K142" s="92">
        <v>46178</v>
      </c>
      <c r="L142" s="92">
        <v>46178</v>
      </c>
    </row>
    <row r="143" spans="5:12">
      <c r="E143" s="62">
        <v>1058934</v>
      </c>
      <c r="F143" s="62">
        <f>VLOOKUP(E143,Data!F:F,1,0)</f>
        <v>1058934</v>
      </c>
      <c r="G143" s="62">
        <v>20614387654</v>
      </c>
      <c r="H143" s="62">
        <f>VLOOKUP(G143,Data!H:H,1,0)</f>
        <v>20614387654</v>
      </c>
      <c r="J143" s="62">
        <v>1059000</v>
      </c>
      <c r="K143" s="92">
        <v>46178</v>
      </c>
    </row>
    <row r="144" spans="5:12">
      <c r="E144" s="62">
        <v>1058873</v>
      </c>
      <c r="F144" s="62">
        <f>VLOOKUP(E144,Data!F:F,1,0)</f>
        <v>1058873</v>
      </c>
      <c r="G144" s="62">
        <v>20319956043</v>
      </c>
      <c r="H144" s="62">
        <f>VLOOKUP(G144,Data!H:H,1,0)</f>
        <v>20319956043</v>
      </c>
      <c r="J144" s="62">
        <v>1058934</v>
      </c>
      <c r="K144" s="92">
        <v>46178</v>
      </c>
    </row>
    <row r="145" spans="5:12">
      <c r="F145" s="62" t="e">
        <f>VLOOKUP(E145,Data!F:F,1,0)</f>
        <v>#N/A</v>
      </c>
      <c r="G145" s="62">
        <v>20319956043</v>
      </c>
      <c r="H145" s="62">
        <f>VLOOKUP(G145,Data!H:H,1,0)</f>
        <v>20319956043</v>
      </c>
      <c r="J145" s="62">
        <v>1058873</v>
      </c>
      <c r="K145" s="92">
        <v>46178</v>
      </c>
      <c r="L145" s="92">
        <v>46189</v>
      </c>
    </row>
    <row r="146" spans="5:12">
      <c r="E146" s="62">
        <v>5957115</v>
      </c>
      <c r="F146" s="62">
        <f>VLOOKUP(E146,Data!F:F,1,0)</f>
        <v>5957115</v>
      </c>
      <c r="G146" s="62">
        <v>20605346392</v>
      </c>
      <c r="H146" s="62">
        <f>VLOOKUP(G146,Data!H:H,1,0)</f>
        <v>20605346392</v>
      </c>
      <c r="K146" s="92">
        <v>46178</v>
      </c>
    </row>
    <row r="147" spans="5:12">
      <c r="E147" s="62">
        <v>5957105</v>
      </c>
      <c r="F147" s="62">
        <f>VLOOKUP(E147,Data!F:F,1,0)</f>
        <v>5957105</v>
      </c>
      <c r="G147" s="62">
        <v>20605346392</v>
      </c>
      <c r="H147" s="62">
        <f>VLOOKUP(G147,Data!H:H,1,0)</f>
        <v>20605346392</v>
      </c>
      <c r="J147" s="62">
        <v>5957115</v>
      </c>
      <c r="K147" s="92">
        <v>46181</v>
      </c>
      <c r="L147" s="92">
        <v>46181</v>
      </c>
    </row>
    <row r="148" spans="5:12">
      <c r="E148" s="62">
        <v>5957110</v>
      </c>
      <c r="F148" s="62">
        <f>VLOOKUP(E148,Data!F:F,1,0)</f>
        <v>5957110</v>
      </c>
      <c r="G148" s="62">
        <v>20605346392</v>
      </c>
      <c r="H148" s="62">
        <f>VLOOKUP(G148,Data!H:H,1,0)</f>
        <v>20605346392</v>
      </c>
      <c r="J148" s="62">
        <v>5957105</v>
      </c>
      <c r="K148" s="92">
        <v>46181</v>
      </c>
      <c r="L148" s="92">
        <v>46181</v>
      </c>
    </row>
    <row r="149" spans="5:12">
      <c r="E149" s="62">
        <v>5957126</v>
      </c>
      <c r="F149" s="62">
        <f>VLOOKUP(E149,Data!F:F,1,0)</f>
        <v>5957126</v>
      </c>
      <c r="G149" s="62">
        <v>20605346392</v>
      </c>
      <c r="H149" s="62">
        <f>VLOOKUP(G149,Data!H:H,1,0)</f>
        <v>20605346392</v>
      </c>
      <c r="J149" s="62">
        <v>5957110</v>
      </c>
      <c r="K149" s="92">
        <v>46181</v>
      </c>
      <c r="L149" s="92">
        <v>46181</v>
      </c>
    </row>
    <row r="150" spans="5:12">
      <c r="E150" s="62">
        <v>5957879</v>
      </c>
      <c r="F150" s="62">
        <f>VLOOKUP(E150,Data!F:F,1,0)</f>
        <v>5957879</v>
      </c>
      <c r="G150" s="62">
        <v>20605346392</v>
      </c>
      <c r="H150" s="62">
        <f>VLOOKUP(G150,Data!H:H,1,0)</f>
        <v>20605346392</v>
      </c>
      <c r="J150" s="62">
        <v>5957126</v>
      </c>
      <c r="K150" s="92">
        <v>46181</v>
      </c>
      <c r="L150" s="92">
        <v>46181</v>
      </c>
    </row>
    <row r="151" spans="5:12">
      <c r="E151" s="62">
        <v>5957881</v>
      </c>
      <c r="F151" s="62">
        <f>VLOOKUP(E151,Data!F:F,1,0)</f>
        <v>5957881</v>
      </c>
      <c r="G151" s="62">
        <v>20605346392</v>
      </c>
      <c r="H151" s="62">
        <f>VLOOKUP(G151,Data!H:H,1,0)</f>
        <v>20605346392</v>
      </c>
      <c r="J151" s="62">
        <v>5957879</v>
      </c>
      <c r="K151" s="92">
        <v>46182</v>
      </c>
      <c r="L151" s="92">
        <v>46182</v>
      </c>
    </row>
    <row r="152" spans="5:12">
      <c r="E152" s="62">
        <v>5957740</v>
      </c>
      <c r="F152" s="62">
        <f>VLOOKUP(E152,Data!F:F,1,0)</f>
        <v>5957740</v>
      </c>
      <c r="G152" s="62">
        <v>20612334499</v>
      </c>
      <c r="H152" s="62">
        <f>VLOOKUP(G152,Data!H:H,1,0)</f>
        <v>20612334499</v>
      </c>
      <c r="J152" s="62">
        <v>5957881</v>
      </c>
      <c r="K152" s="92">
        <v>46182</v>
      </c>
      <c r="L152" s="92">
        <v>46182</v>
      </c>
    </row>
    <row r="153" spans="5:12">
      <c r="E153" s="62">
        <v>5957745</v>
      </c>
      <c r="F153" s="62">
        <f>VLOOKUP(E153,Data!F:F,1,0)</f>
        <v>5957745</v>
      </c>
      <c r="G153" s="62">
        <v>20612334499</v>
      </c>
      <c r="H153" s="62">
        <f>VLOOKUP(G153,Data!H:H,1,0)</f>
        <v>20612334499</v>
      </c>
      <c r="J153" s="62">
        <v>5957740</v>
      </c>
      <c r="K153" s="92">
        <v>46182</v>
      </c>
      <c r="L153" s="92">
        <v>46182</v>
      </c>
    </row>
    <row r="154" spans="5:12">
      <c r="E154" s="62">
        <v>5957632</v>
      </c>
      <c r="F154" s="62">
        <f>VLOOKUP(E154,Data!F:F,1,0)</f>
        <v>5957632</v>
      </c>
      <c r="G154" s="62">
        <v>20600548663</v>
      </c>
      <c r="H154" s="62">
        <f>VLOOKUP(G154,Data!H:H,1,0)</f>
        <v>20600548663</v>
      </c>
      <c r="J154" s="62">
        <v>5957745</v>
      </c>
      <c r="K154" s="92">
        <v>46182</v>
      </c>
      <c r="L154" s="92">
        <v>46182</v>
      </c>
    </row>
    <row r="155" spans="5:12">
      <c r="E155" s="62">
        <v>1058952</v>
      </c>
      <c r="F155" s="62">
        <f>VLOOKUP(E155,Data!F:F,1,0)</f>
        <v>1058952</v>
      </c>
      <c r="G155" s="62">
        <v>20172065598</v>
      </c>
      <c r="H155" s="62">
        <f>VLOOKUP(G155,Data!H:H,1,0)</f>
        <v>20172065598</v>
      </c>
      <c r="J155" s="62">
        <v>5957632</v>
      </c>
      <c r="K155" s="92">
        <v>46182</v>
      </c>
    </row>
    <row r="156" spans="5:12">
      <c r="E156" s="62">
        <v>5958714</v>
      </c>
      <c r="F156" s="62">
        <f>VLOOKUP(E156,Data!F:F,1,0)</f>
        <v>5958714</v>
      </c>
      <c r="G156" s="62">
        <v>20603005920</v>
      </c>
      <c r="H156" s="62">
        <f>VLOOKUP(G156,Data!H:H,1,0)</f>
        <v>20603005920</v>
      </c>
      <c r="J156" s="62">
        <v>1058952</v>
      </c>
      <c r="K156" s="92">
        <v>46183</v>
      </c>
    </row>
    <row r="157" spans="5:12">
      <c r="E157" s="62">
        <v>5958718</v>
      </c>
      <c r="F157" s="62">
        <f>VLOOKUP(E157,Data!F:F,1,0)</f>
        <v>5958718</v>
      </c>
      <c r="G157" s="62">
        <v>20603005920</v>
      </c>
      <c r="H157" s="62">
        <f>VLOOKUP(G157,Data!H:H,1,0)</f>
        <v>20603005920</v>
      </c>
      <c r="J157" s="62">
        <v>5958714</v>
      </c>
      <c r="K157" s="92">
        <v>46183</v>
      </c>
    </row>
    <row r="158" spans="5:12">
      <c r="E158" s="62">
        <v>5958724</v>
      </c>
      <c r="F158" s="62">
        <f>VLOOKUP(E158,Data!F:F,1,0)</f>
        <v>5958724</v>
      </c>
      <c r="G158" s="62">
        <v>20603005920</v>
      </c>
      <c r="H158" s="62">
        <f>VLOOKUP(G158,Data!H:H,1,0)</f>
        <v>20603005920</v>
      </c>
      <c r="J158" s="62">
        <v>5958718</v>
      </c>
      <c r="K158" s="92">
        <v>46183</v>
      </c>
    </row>
    <row r="159" spans="5:12">
      <c r="E159" s="62">
        <v>5958097</v>
      </c>
      <c r="F159" s="62">
        <f>VLOOKUP(E159,Data!F:F,1,0)</f>
        <v>5958097</v>
      </c>
      <c r="G159" s="62">
        <v>10707664733</v>
      </c>
      <c r="H159" s="62">
        <f>VLOOKUP(G159,Data!H:H,1,0)</f>
        <v>10707664733</v>
      </c>
      <c r="J159" s="62">
        <v>5958724</v>
      </c>
      <c r="K159" s="92">
        <v>46183</v>
      </c>
    </row>
    <row r="160" spans="5:12">
      <c r="E160" s="62">
        <v>5958089</v>
      </c>
      <c r="F160" s="62">
        <f>VLOOKUP(E160,Data!F:F,1,0)</f>
        <v>5958089</v>
      </c>
      <c r="G160" s="62">
        <v>10707664733</v>
      </c>
      <c r="H160" s="62">
        <f>VLOOKUP(G160,Data!H:H,1,0)</f>
        <v>10707664733</v>
      </c>
      <c r="J160" s="62">
        <v>5958097</v>
      </c>
      <c r="K160" s="92">
        <v>46183</v>
      </c>
      <c r="L160" s="92">
        <v>46188</v>
      </c>
    </row>
    <row r="161" spans="5:12">
      <c r="E161" s="62">
        <v>5958686</v>
      </c>
      <c r="F161" s="62">
        <f>VLOOKUP(E161,Data!F:F,1,0)</f>
        <v>5958686</v>
      </c>
      <c r="G161" s="62">
        <v>20612931951</v>
      </c>
      <c r="H161" s="62">
        <f>VLOOKUP(G161,Data!H:H,1,0)</f>
        <v>20612931951</v>
      </c>
      <c r="J161" s="62">
        <v>5958089</v>
      </c>
      <c r="K161" s="92">
        <v>46183</v>
      </c>
      <c r="L161" s="92">
        <v>46188</v>
      </c>
    </row>
    <row r="162" spans="5:12">
      <c r="E162" s="62">
        <v>5958847</v>
      </c>
      <c r="F162" s="62">
        <f>VLOOKUP(E162,Data!F:F,1,0)</f>
        <v>5958847</v>
      </c>
      <c r="G162" s="62">
        <v>20613042351</v>
      </c>
      <c r="H162" s="62">
        <f>VLOOKUP(G162,Data!H:H,1,0)</f>
        <v>20613042351</v>
      </c>
      <c r="J162" s="62">
        <v>5958686</v>
      </c>
      <c r="K162" s="92">
        <v>46184</v>
      </c>
      <c r="L162" s="92">
        <v>46184</v>
      </c>
    </row>
    <row r="163" spans="5:12">
      <c r="E163" s="62">
        <v>5958692</v>
      </c>
      <c r="F163" s="62">
        <f>VLOOKUP(E163,Data!F:F,1,0)</f>
        <v>5958692</v>
      </c>
      <c r="G163" s="62">
        <v>20609843277</v>
      </c>
      <c r="H163" s="62">
        <f>VLOOKUP(G163,Data!H:H,1,0)</f>
        <v>20609843277</v>
      </c>
      <c r="J163" s="62">
        <v>5958847</v>
      </c>
      <c r="K163" s="92">
        <v>46184</v>
      </c>
      <c r="L163" s="92">
        <v>46188</v>
      </c>
    </row>
    <row r="164" spans="5:12">
      <c r="E164" s="62">
        <v>5959201</v>
      </c>
      <c r="F164" s="62">
        <f>VLOOKUP(E164,Data!F:F,1,0)</f>
        <v>5959201</v>
      </c>
      <c r="G164" s="62">
        <v>20569332801</v>
      </c>
      <c r="H164" s="62">
        <f>VLOOKUP(G164,Data!H:H,1,0)</f>
        <v>20569332801</v>
      </c>
      <c r="J164" s="62">
        <v>5958692</v>
      </c>
      <c r="K164" s="92">
        <v>46184</v>
      </c>
    </row>
    <row r="165" spans="5:12">
      <c r="F165" s="62" t="e">
        <f>VLOOKUP(E165,Data!F:F,1,0)</f>
        <v>#N/A</v>
      </c>
      <c r="G165" s="62">
        <v>20601929351</v>
      </c>
      <c r="H165" s="62">
        <f>VLOOKUP(G165,Data!H:H,1,0)</f>
        <v>20601929351</v>
      </c>
      <c r="J165" s="62">
        <v>5959201</v>
      </c>
      <c r="K165" s="92">
        <v>46185</v>
      </c>
    </row>
    <row r="166" spans="5:12">
      <c r="E166" s="62">
        <v>5960313</v>
      </c>
      <c r="F166" s="62">
        <f>VLOOKUP(E166,Data!F:F,1,0)</f>
        <v>5960313</v>
      </c>
      <c r="G166" s="62">
        <v>20614521997</v>
      </c>
      <c r="H166" s="62">
        <f>VLOOKUP(G166,Data!H:H,1,0)</f>
        <v>20614521997</v>
      </c>
      <c r="K166" s="92">
        <v>46185</v>
      </c>
    </row>
    <row r="167" spans="5:12">
      <c r="E167" s="62">
        <v>5960316</v>
      </c>
      <c r="F167" s="62">
        <f>VLOOKUP(E167,Data!F:F,1,0)</f>
        <v>5960316</v>
      </c>
      <c r="G167" s="62">
        <v>20614521997</v>
      </c>
      <c r="H167" s="62">
        <f>VLOOKUP(G167,Data!H:H,1,0)</f>
        <v>20614521997</v>
      </c>
      <c r="J167" s="62">
        <v>5960313</v>
      </c>
      <c r="K167" s="92">
        <v>46188</v>
      </c>
      <c r="L167" s="92">
        <v>46190</v>
      </c>
    </row>
    <row r="168" spans="5:12">
      <c r="E168" s="62">
        <v>5960318</v>
      </c>
      <c r="F168" s="62">
        <f>VLOOKUP(E168,Data!F:F,1,0)</f>
        <v>5960318</v>
      </c>
      <c r="G168" s="62">
        <v>20614521997</v>
      </c>
      <c r="H168" s="62">
        <f>VLOOKUP(G168,Data!H:H,1,0)</f>
        <v>20614521997</v>
      </c>
      <c r="J168" s="62">
        <v>5960316</v>
      </c>
      <c r="K168" s="92">
        <v>46188</v>
      </c>
      <c r="L168" s="92">
        <v>46190</v>
      </c>
    </row>
    <row r="169" spans="5:12">
      <c r="F169" s="62" t="e">
        <f>VLOOKUP(E169,Data!F:F,1,0)</f>
        <v>#N/A</v>
      </c>
      <c r="G169" s="62">
        <v>20601315603</v>
      </c>
      <c r="H169" s="62">
        <f>VLOOKUP(G169,Data!H:H,1,0)</f>
        <v>20601315603</v>
      </c>
      <c r="J169" s="62">
        <v>5960318</v>
      </c>
      <c r="K169" s="92">
        <v>46188</v>
      </c>
      <c r="L169" s="92">
        <v>46190</v>
      </c>
    </row>
    <row r="170" spans="5:12">
      <c r="E170" s="62">
        <v>5897516</v>
      </c>
      <c r="F170" s="62">
        <f>VLOOKUP(E170,Data!F:F,1,0)</f>
        <v>5897516</v>
      </c>
      <c r="G170" s="62">
        <v>20614733765</v>
      </c>
      <c r="H170" s="62">
        <f>VLOOKUP(G170,Data!H:H,1,0)</f>
        <v>20614733765</v>
      </c>
      <c r="K170" s="92">
        <v>46188</v>
      </c>
    </row>
    <row r="171" spans="5:12">
      <c r="E171" s="62">
        <v>5677685</v>
      </c>
      <c r="F171" s="62">
        <f>VLOOKUP(E171,Data!F:F,1,0)</f>
        <v>5677685</v>
      </c>
      <c r="G171" s="62">
        <v>20612526291</v>
      </c>
      <c r="H171" s="62">
        <f>VLOOKUP(G171,Data!H:H,1,0)</f>
        <v>20612526291</v>
      </c>
      <c r="J171" s="62">
        <v>5897516</v>
      </c>
      <c r="K171" s="92">
        <v>46188</v>
      </c>
      <c r="L171" s="92">
        <v>46188</v>
      </c>
    </row>
    <row r="172" spans="5:12">
      <c r="E172" s="62">
        <v>5677695</v>
      </c>
      <c r="F172" s="62">
        <f>VLOOKUP(E172,Data!F:F,1,0)</f>
        <v>5677695</v>
      </c>
      <c r="G172" s="62">
        <v>20612526291</v>
      </c>
      <c r="H172" s="62">
        <f>VLOOKUP(G172,Data!H:H,1,0)</f>
        <v>20612526291</v>
      </c>
      <c r="J172" s="62">
        <v>5677685</v>
      </c>
      <c r="K172" s="92">
        <v>46189</v>
      </c>
      <c r="L172" s="92">
        <v>46189</v>
      </c>
    </row>
    <row r="173" spans="5:12">
      <c r="E173" s="62">
        <v>5684475</v>
      </c>
      <c r="F173" s="62">
        <f>VLOOKUP(E173,Data!F:F,1,0)</f>
        <v>5684475</v>
      </c>
      <c r="G173" s="62">
        <v>20612526291</v>
      </c>
      <c r="H173" s="62">
        <f>VLOOKUP(G173,Data!H:H,1,0)</f>
        <v>20612526291</v>
      </c>
      <c r="J173" s="62">
        <v>5677695</v>
      </c>
      <c r="K173" s="92">
        <v>46189</v>
      </c>
      <c r="L173" s="92">
        <v>46189</v>
      </c>
    </row>
    <row r="174" spans="5:12">
      <c r="E174" s="62">
        <v>5684511</v>
      </c>
      <c r="F174" s="62">
        <f>VLOOKUP(E174,Data!F:F,1,0)</f>
        <v>5684511</v>
      </c>
      <c r="G174" s="62">
        <v>20612526291</v>
      </c>
      <c r="H174" s="62">
        <f>VLOOKUP(G174,Data!H:H,1,0)</f>
        <v>20612526291</v>
      </c>
      <c r="J174" s="62">
        <v>5684475</v>
      </c>
      <c r="K174" s="92">
        <v>46189</v>
      </c>
      <c r="L174" s="92">
        <v>46189</v>
      </c>
    </row>
    <row r="175" spans="5:12">
      <c r="E175" s="62">
        <v>5684519</v>
      </c>
      <c r="F175" s="62">
        <f>VLOOKUP(E175,Data!F:F,1,0)</f>
        <v>5684519</v>
      </c>
      <c r="G175" s="62">
        <v>20612526291</v>
      </c>
      <c r="H175" s="62">
        <f>VLOOKUP(G175,Data!H:H,1,0)</f>
        <v>20612526291</v>
      </c>
      <c r="J175" s="62">
        <v>5684511</v>
      </c>
      <c r="K175" s="92">
        <v>46189</v>
      </c>
      <c r="L175" s="92">
        <v>46189</v>
      </c>
    </row>
    <row r="176" spans="5:12">
      <c r="E176" s="62">
        <v>5685563</v>
      </c>
      <c r="F176" s="62">
        <f>VLOOKUP(E176,Data!F:F,1,0)</f>
        <v>5685563</v>
      </c>
      <c r="G176" s="62">
        <v>20612526291</v>
      </c>
      <c r="H176" s="62">
        <f>VLOOKUP(G176,Data!H:H,1,0)</f>
        <v>20612526291</v>
      </c>
      <c r="J176" s="62">
        <v>5684519</v>
      </c>
      <c r="K176" s="92">
        <v>46189</v>
      </c>
      <c r="L176" s="92">
        <v>46189</v>
      </c>
    </row>
    <row r="177" spans="5:12">
      <c r="E177" s="62">
        <v>5960659</v>
      </c>
      <c r="F177" s="62">
        <f>VLOOKUP(E177,Data!F:F,1,0)</f>
        <v>5960659</v>
      </c>
      <c r="G177" s="62">
        <v>20615813410</v>
      </c>
      <c r="H177" s="62">
        <f>VLOOKUP(G177,Data!H:H,1,0)</f>
        <v>20615813410</v>
      </c>
      <c r="J177" s="62">
        <v>5685563</v>
      </c>
      <c r="K177" s="92">
        <v>46189</v>
      </c>
      <c r="L177" s="92">
        <v>46189</v>
      </c>
    </row>
    <row r="178" spans="5:12">
      <c r="E178" s="62">
        <v>5960719</v>
      </c>
      <c r="F178" s="62">
        <f>VLOOKUP(E178,Data!F:F,1,0)</f>
        <v>5960719</v>
      </c>
      <c r="G178" s="62">
        <v>20535913294</v>
      </c>
      <c r="H178" s="62">
        <f>VLOOKUP(G178,Data!H:H,1,0)</f>
        <v>20535913294</v>
      </c>
      <c r="J178" s="62">
        <v>5960659</v>
      </c>
      <c r="K178" s="92">
        <v>46189</v>
      </c>
    </row>
    <row r="179" spans="5:12">
      <c r="E179" s="62">
        <v>5960725</v>
      </c>
      <c r="F179" s="62">
        <f>VLOOKUP(E179,Data!F:F,1,0)</f>
        <v>5960725</v>
      </c>
      <c r="G179" s="62">
        <v>20535913294</v>
      </c>
      <c r="H179" s="62">
        <f>VLOOKUP(G179,Data!H:H,1,0)</f>
        <v>20535913294</v>
      </c>
      <c r="J179" s="62">
        <v>5960719</v>
      </c>
      <c r="K179" s="92">
        <v>46189</v>
      </c>
      <c r="L179" s="92">
        <v>46190</v>
      </c>
    </row>
    <row r="180" spans="5:12">
      <c r="F180" s="62" t="e">
        <f>VLOOKUP(E180,Data!F:F,1,0)</f>
        <v>#N/A</v>
      </c>
      <c r="G180" s="62">
        <v>20613702629</v>
      </c>
      <c r="H180" s="62">
        <f>VLOOKUP(G180,Data!H:H,1,0)</f>
        <v>20613702629</v>
      </c>
      <c r="J180" s="62">
        <v>5960725</v>
      </c>
      <c r="K180" s="92">
        <v>46189</v>
      </c>
      <c r="L180" s="92">
        <v>46190</v>
      </c>
    </row>
    <row r="181" spans="5:12">
      <c r="E181" s="62">
        <v>5961137</v>
      </c>
      <c r="F181" s="62">
        <f>VLOOKUP(E181,Data!F:F,1,0)</f>
        <v>5961137</v>
      </c>
      <c r="G181" s="62">
        <v>10450078323</v>
      </c>
      <c r="H181" s="62">
        <f>VLOOKUP(G181,Data!H:H,1,0)</f>
        <v>10450078323</v>
      </c>
      <c r="K181" s="92">
        <v>46159</v>
      </c>
    </row>
    <row r="182" spans="5:12">
      <c r="E182" s="62">
        <v>5961251</v>
      </c>
      <c r="F182" s="62">
        <f>VLOOKUP(E182,Data!F:F,1,0)</f>
        <v>5961251</v>
      </c>
      <c r="G182" s="62">
        <v>20614992868</v>
      </c>
      <c r="H182" s="62">
        <f>VLOOKUP(G182,Data!H:H,1,0)</f>
        <v>20614992868</v>
      </c>
      <c r="J182" s="62">
        <v>5961137</v>
      </c>
      <c r="K182" s="92">
        <v>46159</v>
      </c>
    </row>
    <row r="183" spans="5:12">
      <c r="J183" s="62">
        <v>5961251</v>
      </c>
      <c r="K183" s="92">
        <v>46159</v>
      </c>
      <c r="L183" s="92">
        <v>46159</v>
      </c>
    </row>
  </sheetData>
  <autoFilter ref="E51:F182" xr:uid="{B813D3E6-60AA-44F1-8388-F7EB19F31146}"/>
  <phoneticPr fontId="6" type="noConversion"/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1FB1-1814-4196-AADD-ADD55E978B0D}">
  <dimension ref="A1:C974"/>
  <sheetViews>
    <sheetView showGridLines="0" zoomScale="85" zoomScaleNormal="85" workbookViewId="0">
      <selection activeCell="B1" sqref="B1:C974"/>
    </sheetView>
  </sheetViews>
  <sheetFormatPr baseColWidth="10" defaultRowHeight="14.25" customHeight="1"/>
  <cols>
    <col min="1" max="16384" width="11.42578125" style="136"/>
  </cols>
  <sheetData>
    <row r="1" spans="1:3" ht="14.25" customHeight="1" thickBot="1">
      <c r="A1" s="143" t="s">
        <v>925</v>
      </c>
      <c r="B1" s="143" t="s">
        <v>923</v>
      </c>
      <c r="C1" s="143" t="s">
        <v>924</v>
      </c>
    </row>
    <row r="2" spans="1:3" ht="14.25" customHeight="1" thickBot="1">
      <c r="A2" s="137">
        <v>1058413</v>
      </c>
      <c r="B2" s="140">
        <v>46153</v>
      </c>
      <c r="C2" s="140">
        <v>46160</v>
      </c>
    </row>
    <row r="3" spans="1:3" ht="14.25" customHeight="1" thickBot="1">
      <c r="A3" s="137">
        <v>5946666</v>
      </c>
      <c r="B3" s="140">
        <v>46153</v>
      </c>
      <c r="C3" s="140">
        <v>46157</v>
      </c>
    </row>
    <row r="4" spans="1:3" ht="14.25" customHeight="1" thickBot="1">
      <c r="A4" s="137">
        <v>5946377</v>
      </c>
      <c r="B4" s="140">
        <v>46153</v>
      </c>
      <c r="C4" s="140">
        <v>46157</v>
      </c>
    </row>
    <row r="5" spans="1:3" ht="14.25" customHeight="1" thickBot="1">
      <c r="A5" s="137">
        <v>1058498</v>
      </c>
      <c r="B5" s="140">
        <v>46154</v>
      </c>
      <c r="C5" s="140">
        <v>46163</v>
      </c>
    </row>
    <row r="6" spans="1:3" ht="14.25" customHeight="1" thickBot="1">
      <c r="A6" s="137">
        <v>1058441</v>
      </c>
      <c r="B6" s="140">
        <v>46154</v>
      </c>
      <c r="C6" s="140">
        <v>46161</v>
      </c>
    </row>
    <row r="7" spans="1:3" ht="14.25" customHeight="1" thickBot="1">
      <c r="A7" s="137">
        <v>1058457</v>
      </c>
      <c r="B7" s="140">
        <v>46154</v>
      </c>
      <c r="C7" s="140">
        <v>46161</v>
      </c>
    </row>
    <row r="8" spans="1:3" ht="14.25" customHeight="1" thickBot="1">
      <c r="A8" s="137">
        <v>1058458</v>
      </c>
      <c r="B8" s="140">
        <v>46154</v>
      </c>
      <c r="C8" s="140">
        <v>46161</v>
      </c>
    </row>
    <row r="9" spans="1:3" ht="14.25" customHeight="1" thickBot="1">
      <c r="A9" s="137">
        <v>1058459</v>
      </c>
      <c r="B9" s="140">
        <v>46154</v>
      </c>
      <c r="C9" s="140">
        <v>46161</v>
      </c>
    </row>
    <row r="10" spans="1:3" ht="14.25" customHeight="1" thickBot="1">
      <c r="A10" s="137">
        <v>1058460</v>
      </c>
      <c r="B10" s="140">
        <v>46154</v>
      </c>
      <c r="C10" s="140">
        <v>46161</v>
      </c>
    </row>
    <row r="11" spans="1:3" ht="14.25" customHeight="1" thickBot="1">
      <c r="A11" s="137">
        <v>1058462</v>
      </c>
      <c r="B11" s="140">
        <v>46154</v>
      </c>
      <c r="C11" s="140">
        <v>46161</v>
      </c>
    </row>
    <row r="12" spans="1:3" ht="14.25" customHeight="1" thickBot="1">
      <c r="A12" s="137">
        <v>5946838</v>
      </c>
      <c r="B12" s="140">
        <v>46154</v>
      </c>
      <c r="C12" s="140">
        <v>46155</v>
      </c>
    </row>
    <row r="13" spans="1:3" ht="14.25" customHeight="1" thickBot="1">
      <c r="A13" s="137">
        <v>5946827</v>
      </c>
      <c r="B13" s="140">
        <v>46154</v>
      </c>
      <c r="C13" s="140">
        <v>46155</v>
      </c>
    </row>
    <row r="14" spans="1:3" ht="14.25" customHeight="1" thickBot="1">
      <c r="A14" s="137">
        <v>5947649</v>
      </c>
      <c r="B14" s="140">
        <v>46156</v>
      </c>
      <c r="C14" s="140">
        <v>46157</v>
      </c>
    </row>
    <row r="15" spans="1:3" ht="14.25" customHeight="1" thickBot="1">
      <c r="A15" s="137">
        <v>5947793</v>
      </c>
      <c r="B15" s="140">
        <v>46156</v>
      </c>
      <c r="C15" s="140">
        <v>46160</v>
      </c>
    </row>
    <row r="16" spans="1:3" ht="14.25" customHeight="1" thickBot="1">
      <c r="A16" s="137">
        <v>5947651</v>
      </c>
      <c r="B16" s="140">
        <v>46157</v>
      </c>
      <c r="C16" s="140">
        <v>46160</v>
      </c>
    </row>
    <row r="17" spans="1:3" ht="14.25" customHeight="1" thickBot="1">
      <c r="A17" s="137">
        <v>5947775</v>
      </c>
      <c r="B17" s="140">
        <v>46157</v>
      </c>
      <c r="C17" s="140">
        <v>46160</v>
      </c>
    </row>
    <row r="18" spans="1:3" ht="14.25" customHeight="1" thickBot="1">
      <c r="A18" s="137">
        <v>5947694</v>
      </c>
      <c r="B18" s="140">
        <v>46157</v>
      </c>
      <c r="C18" s="140">
        <v>46157</v>
      </c>
    </row>
    <row r="19" spans="1:3" ht="14.25" customHeight="1" thickBot="1">
      <c r="A19" s="137">
        <v>5947811</v>
      </c>
      <c r="B19" s="140">
        <v>46157</v>
      </c>
      <c r="C19" s="140">
        <v>46160</v>
      </c>
    </row>
    <row r="20" spans="1:3" ht="14.25" customHeight="1" thickBot="1">
      <c r="A20" s="137">
        <v>5947833</v>
      </c>
      <c r="B20" s="140">
        <v>46157</v>
      </c>
      <c r="C20" s="140">
        <v>46160</v>
      </c>
    </row>
    <row r="21" spans="1:3" ht="14.25" customHeight="1" thickBot="1">
      <c r="A21" s="137">
        <v>5948363</v>
      </c>
      <c r="B21" s="140">
        <v>46160</v>
      </c>
      <c r="C21" s="140">
        <v>46160</v>
      </c>
    </row>
    <row r="22" spans="1:3" ht="14.25" customHeight="1" thickBot="1">
      <c r="A22" s="138">
        <v>5948727</v>
      </c>
      <c r="B22" s="140">
        <v>46160</v>
      </c>
      <c r="C22" s="140">
        <v>46162</v>
      </c>
    </row>
    <row r="23" spans="1:3" ht="14.25" customHeight="1" thickBot="1">
      <c r="A23" s="137">
        <v>5948633</v>
      </c>
      <c r="B23" s="140">
        <v>46161</v>
      </c>
      <c r="C23" s="140">
        <v>46161</v>
      </c>
    </row>
    <row r="24" spans="1:3" ht="14.25" customHeight="1" thickBot="1">
      <c r="A24" s="137">
        <v>5949069</v>
      </c>
      <c r="B24" s="140">
        <v>46162</v>
      </c>
      <c r="C24" s="140">
        <v>46162</v>
      </c>
    </row>
    <row r="25" spans="1:3" ht="14.25" customHeight="1" thickBot="1">
      <c r="A25" s="137">
        <v>5949498</v>
      </c>
      <c r="B25" s="140">
        <v>46163</v>
      </c>
      <c r="C25" s="140">
        <v>46163</v>
      </c>
    </row>
    <row r="26" spans="1:3" ht="14.25" customHeight="1" thickBot="1">
      <c r="A26" s="137">
        <v>5949568</v>
      </c>
      <c r="B26" s="140">
        <v>46163</v>
      </c>
      <c r="C26" s="140">
        <v>46163</v>
      </c>
    </row>
    <row r="27" spans="1:3" ht="14.25" customHeight="1" thickBot="1">
      <c r="A27" s="137">
        <v>1058642</v>
      </c>
      <c r="B27" s="140">
        <v>46163</v>
      </c>
      <c r="C27" s="141">
        <v>46182</v>
      </c>
    </row>
    <row r="28" spans="1:3" ht="14.25" customHeight="1" thickBot="1">
      <c r="A28" s="137">
        <v>1058616</v>
      </c>
      <c r="B28" s="140">
        <v>46163</v>
      </c>
      <c r="C28" s="140">
        <v>46165</v>
      </c>
    </row>
    <row r="29" spans="1:3" ht="14.25" customHeight="1" thickBot="1">
      <c r="A29" s="137">
        <v>1058648</v>
      </c>
      <c r="B29" s="140">
        <v>46167</v>
      </c>
      <c r="C29" s="140">
        <v>46172</v>
      </c>
    </row>
    <row r="30" spans="1:3" ht="14.25" customHeight="1" thickBot="1">
      <c r="A30" s="137">
        <v>1058662</v>
      </c>
      <c r="B30" s="140">
        <v>46167</v>
      </c>
      <c r="C30" s="140">
        <v>46172</v>
      </c>
    </row>
    <row r="31" spans="1:3" ht="14.25" customHeight="1" thickBot="1">
      <c r="A31" s="139"/>
      <c r="B31" s="140">
        <v>46167</v>
      </c>
      <c r="C31" s="140">
        <v>46167</v>
      </c>
    </row>
    <row r="32" spans="1:3" ht="14.25" customHeight="1" thickBot="1">
      <c r="A32" s="137">
        <v>5951217</v>
      </c>
      <c r="B32" s="140">
        <v>46167</v>
      </c>
      <c r="C32" s="140">
        <v>46174</v>
      </c>
    </row>
    <row r="33" spans="1:3" ht="14.25" customHeight="1" thickBot="1">
      <c r="A33" s="137">
        <v>5951239</v>
      </c>
      <c r="B33" s="140">
        <v>46167</v>
      </c>
      <c r="C33" s="140">
        <v>46174</v>
      </c>
    </row>
    <row r="34" spans="1:3" ht="14.25" customHeight="1" thickBot="1">
      <c r="A34" s="137">
        <v>5951532</v>
      </c>
      <c r="B34" s="140">
        <v>46168</v>
      </c>
      <c r="C34" s="140">
        <v>46168</v>
      </c>
    </row>
    <row r="35" spans="1:3" ht="14.25" customHeight="1" thickBot="1">
      <c r="A35" s="137">
        <v>5951698</v>
      </c>
      <c r="B35" s="140">
        <v>46168</v>
      </c>
      <c r="C35" s="140">
        <v>46169</v>
      </c>
    </row>
    <row r="36" spans="1:3" ht="14.25" customHeight="1" thickBot="1">
      <c r="A36" s="137">
        <v>5951722</v>
      </c>
      <c r="B36" s="140">
        <v>46168</v>
      </c>
      <c r="C36" s="140">
        <v>46169</v>
      </c>
    </row>
    <row r="37" spans="1:3" ht="14.25" customHeight="1" thickBot="1">
      <c r="A37" s="137">
        <v>1058712</v>
      </c>
      <c r="B37" s="140">
        <v>46168</v>
      </c>
      <c r="C37" s="140">
        <v>46170</v>
      </c>
    </row>
    <row r="38" spans="1:3" ht="14.25" customHeight="1" thickBot="1">
      <c r="A38" s="137">
        <v>5952607</v>
      </c>
      <c r="B38" s="140">
        <v>46170</v>
      </c>
      <c r="C38" s="140">
        <v>46170</v>
      </c>
    </row>
    <row r="39" spans="1:3" ht="14.25" customHeight="1" thickBot="1">
      <c r="A39" s="137">
        <v>5952853</v>
      </c>
      <c r="B39" s="140">
        <v>46170</v>
      </c>
      <c r="C39" s="140">
        <v>46170</v>
      </c>
    </row>
    <row r="40" spans="1:3" ht="14.25" customHeight="1" thickBot="1">
      <c r="A40" s="139"/>
      <c r="B40" s="140">
        <v>46170</v>
      </c>
      <c r="C40" s="140">
        <v>46170</v>
      </c>
    </row>
    <row r="41" spans="1:3" ht="14.25" customHeight="1" thickBot="1">
      <c r="A41" s="137">
        <v>5953111</v>
      </c>
      <c r="B41" s="140">
        <v>46171</v>
      </c>
      <c r="C41" s="140">
        <v>46171</v>
      </c>
    </row>
    <row r="42" spans="1:3" ht="14.25" customHeight="1" thickBot="1">
      <c r="A42" s="137">
        <v>5953114</v>
      </c>
      <c r="B42" s="140">
        <v>46171</v>
      </c>
      <c r="C42" s="140">
        <v>46171</v>
      </c>
    </row>
    <row r="43" spans="1:3" ht="14.25" customHeight="1" thickBot="1">
      <c r="A43" s="137">
        <v>5953129</v>
      </c>
      <c r="B43" s="140">
        <v>46171</v>
      </c>
      <c r="C43" s="140">
        <v>46171</v>
      </c>
    </row>
    <row r="44" spans="1:3" ht="14.25" customHeight="1" thickBot="1">
      <c r="A44" s="137">
        <v>5953142</v>
      </c>
      <c r="B44" s="140">
        <v>46171</v>
      </c>
      <c r="C44" s="140">
        <v>46171</v>
      </c>
    </row>
    <row r="45" spans="1:3" ht="14.25" customHeight="1" thickBot="1">
      <c r="A45" s="137">
        <v>5953155</v>
      </c>
      <c r="B45" s="140">
        <v>46171</v>
      </c>
      <c r="C45" s="140">
        <v>46171</v>
      </c>
    </row>
    <row r="46" spans="1:3" ht="14.25" customHeight="1" thickBot="1">
      <c r="A46" s="137">
        <v>5035956</v>
      </c>
      <c r="B46" s="140">
        <v>46171</v>
      </c>
      <c r="C46" s="140">
        <v>46174</v>
      </c>
    </row>
    <row r="47" spans="1:3" ht="14.25" customHeight="1" thickBot="1">
      <c r="A47" s="137">
        <v>1058826</v>
      </c>
      <c r="B47" s="140">
        <v>46174</v>
      </c>
      <c r="C47" s="142"/>
    </row>
    <row r="48" spans="1:3" ht="14.25" customHeight="1" thickBot="1">
      <c r="A48" s="137">
        <v>5954426</v>
      </c>
      <c r="B48" s="140">
        <v>46174</v>
      </c>
      <c r="C48" s="140">
        <v>46175</v>
      </c>
    </row>
    <row r="49" spans="1:3" ht="14.25" customHeight="1" thickBot="1">
      <c r="A49" s="137">
        <v>5954680</v>
      </c>
      <c r="B49" s="140">
        <v>46175</v>
      </c>
      <c r="C49" s="140">
        <v>46175</v>
      </c>
    </row>
    <row r="50" spans="1:3" ht="14.25" customHeight="1" thickBot="1">
      <c r="A50" s="137">
        <v>5954686</v>
      </c>
      <c r="B50" s="140">
        <v>46175</v>
      </c>
      <c r="C50" s="140">
        <v>46175</v>
      </c>
    </row>
    <row r="51" spans="1:3" ht="14.25" customHeight="1" thickBot="1">
      <c r="A51" s="138">
        <v>1059001</v>
      </c>
      <c r="B51" s="140">
        <v>46175</v>
      </c>
      <c r="C51" s="141">
        <v>46190</v>
      </c>
    </row>
    <row r="52" spans="1:3" ht="14.25" customHeight="1" thickBot="1">
      <c r="A52" s="137">
        <v>5954895</v>
      </c>
      <c r="B52" s="140">
        <v>46175</v>
      </c>
      <c r="C52" s="140">
        <v>46176</v>
      </c>
    </row>
    <row r="53" spans="1:3" ht="14.25" customHeight="1" thickBot="1">
      <c r="A53" s="137">
        <v>5954902</v>
      </c>
      <c r="B53" s="140">
        <v>46175</v>
      </c>
      <c r="C53" s="140">
        <v>46176</v>
      </c>
    </row>
    <row r="54" spans="1:3" ht="14.25" customHeight="1" thickBot="1">
      <c r="A54" s="137">
        <v>5954905</v>
      </c>
      <c r="B54" s="140">
        <v>46175</v>
      </c>
      <c r="C54" s="140">
        <v>46176</v>
      </c>
    </row>
    <row r="55" spans="1:3" ht="14.25" customHeight="1" thickBot="1">
      <c r="A55" s="137">
        <v>5954878</v>
      </c>
      <c r="B55" s="140">
        <v>46175</v>
      </c>
      <c r="C55" s="140">
        <v>46176</v>
      </c>
    </row>
    <row r="56" spans="1:3" ht="14.25" customHeight="1" thickBot="1">
      <c r="A56" s="137">
        <v>5954957</v>
      </c>
      <c r="B56" s="140">
        <v>46175</v>
      </c>
      <c r="C56" s="141">
        <v>46179</v>
      </c>
    </row>
    <row r="57" spans="1:3" ht="14.25" customHeight="1" thickBot="1">
      <c r="A57" s="137">
        <v>4081427</v>
      </c>
      <c r="B57" s="140">
        <v>46176</v>
      </c>
      <c r="C57" s="139"/>
    </row>
    <row r="58" spans="1:3" ht="14.25" customHeight="1" thickBot="1">
      <c r="A58" s="138">
        <v>4081428</v>
      </c>
      <c r="B58" s="140">
        <v>46176</v>
      </c>
      <c r="C58" s="139"/>
    </row>
    <row r="59" spans="1:3" ht="14.25" customHeight="1" thickBot="1">
      <c r="A59" s="138">
        <v>4081435</v>
      </c>
      <c r="B59" s="140">
        <v>46176</v>
      </c>
      <c r="C59" s="139"/>
    </row>
    <row r="60" spans="1:3" ht="14.25" customHeight="1" thickBot="1">
      <c r="A60" s="138">
        <v>4081436</v>
      </c>
      <c r="B60" s="140">
        <v>46176</v>
      </c>
      <c r="C60" s="139"/>
    </row>
    <row r="61" spans="1:3" ht="14.25" customHeight="1" thickBot="1">
      <c r="A61" s="138">
        <v>5955460</v>
      </c>
      <c r="B61" s="141">
        <v>46176</v>
      </c>
      <c r="C61" s="141">
        <v>46176</v>
      </c>
    </row>
    <row r="62" spans="1:3" ht="14.25" customHeight="1" thickBot="1">
      <c r="A62" s="138">
        <v>5955465</v>
      </c>
      <c r="B62" s="141">
        <v>46176</v>
      </c>
      <c r="C62" s="141">
        <v>46176</v>
      </c>
    </row>
    <row r="63" spans="1:3" ht="14.25" customHeight="1" thickBot="1">
      <c r="A63" s="138">
        <v>5955472</v>
      </c>
      <c r="B63" s="141">
        <v>46176</v>
      </c>
      <c r="C63" s="141">
        <v>46176</v>
      </c>
    </row>
    <row r="64" spans="1:3" ht="14.25" customHeight="1" thickBot="1">
      <c r="A64" s="138">
        <v>5955497</v>
      </c>
      <c r="B64" s="141">
        <v>46176</v>
      </c>
      <c r="C64" s="141">
        <v>46176</v>
      </c>
    </row>
    <row r="65" spans="1:3" ht="14.25" customHeight="1" thickBot="1">
      <c r="A65" s="138">
        <v>5955502</v>
      </c>
      <c r="B65" s="141">
        <v>46176</v>
      </c>
      <c r="C65" s="141">
        <v>46176</v>
      </c>
    </row>
    <row r="66" spans="1:3" ht="14.25" customHeight="1" thickBot="1">
      <c r="A66" s="138">
        <v>5955513</v>
      </c>
      <c r="B66" s="141">
        <v>46176</v>
      </c>
      <c r="C66" s="141">
        <v>46176</v>
      </c>
    </row>
    <row r="67" spans="1:3" ht="14.25" customHeight="1" thickBot="1">
      <c r="A67" s="138">
        <v>5955516</v>
      </c>
      <c r="B67" s="141">
        <v>46176</v>
      </c>
      <c r="C67" s="141">
        <v>46176</v>
      </c>
    </row>
    <row r="68" spans="1:3" ht="14.25" customHeight="1" thickBot="1">
      <c r="A68" s="138">
        <v>5955519</v>
      </c>
      <c r="B68" s="141">
        <v>46176</v>
      </c>
      <c r="C68" s="141">
        <v>46176</v>
      </c>
    </row>
    <row r="69" spans="1:3" ht="14.25" customHeight="1" thickBot="1">
      <c r="A69" s="137">
        <v>5955405</v>
      </c>
      <c r="B69" s="140">
        <v>46176</v>
      </c>
      <c r="C69" s="140">
        <v>46176</v>
      </c>
    </row>
    <row r="70" spans="1:3" ht="14.25" customHeight="1" thickBot="1">
      <c r="A70" s="138">
        <v>5955684</v>
      </c>
      <c r="B70" s="141">
        <v>46177</v>
      </c>
      <c r="C70" s="141">
        <v>46177</v>
      </c>
    </row>
    <row r="71" spans="1:3" ht="14.25" customHeight="1" thickBot="1">
      <c r="A71" s="138">
        <v>5955807</v>
      </c>
      <c r="B71" s="141">
        <v>46177</v>
      </c>
      <c r="C71" s="141">
        <v>46177</v>
      </c>
    </row>
    <row r="72" spans="1:3" ht="14.25" customHeight="1" thickBot="1">
      <c r="A72" s="137">
        <v>1058852</v>
      </c>
      <c r="B72" s="140">
        <v>46177</v>
      </c>
      <c r="C72" s="142"/>
    </row>
    <row r="73" spans="1:3" ht="14.25" customHeight="1" thickBot="1">
      <c r="A73" s="137">
        <v>1058842</v>
      </c>
      <c r="B73" s="140">
        <v>46177</v>
      </c>
      <c r="C73" s="142"/>
    </row>
    <row r="74" spans="1:3" ht="14.25" customHeight="1" thickBot="1">
      <c r="A74" s="138">
        <v>1058974</v>
      </c>
      <c r="B74" s="140">
        <v>46177</v>
      </c>
      <c r="C74" s="140">
        <v>46185</v>
      </c>
    </row>
    <row r="75" spans="1:3" ht="14.25" customHeight="1" thickBot="1">
      <c r="A75" s="138">
        <v>1058976</v>
      </c>
      <c r="B75" s="140">
        <v>46177</v>
      </c>
      <c r="C75" s="142"/>
    </row>
    <row r="76" spans="1:3" ht="14.25" customHeight="1" thickBot="1">
      <c r="A76" s="138">
        <v>5347565</v>
      </c>
      <c r="B76" s="140">
        <v>46177</v>
      </c>
      <c r="C76" s="140">
        <v>46184</v>
      </c>
    </row>
    <row r="77" spans="1:3" ht="14.25" customHeight="1" thickBot="1">
      <c r="A77" s="138">
        <v>5347569</v>
      </c>
      <c r="B77" s="140">
        <v>46177</v>
      </c>
      <c r="C77" s="140">
        <v>46184</v>
      </c>
    </row>
    <row r="78" spans="1:3" ht="14.25" customHeight="1" thickBot="1">
      <c r="A78" s="138">
        <v>5860524</v>
      </c>
      <c r="B78" s="141">
        <v>46177</v>
      </c>
      <c r="C78" s="144"/>
    </row>
    <row r="79" spans="1:3" ht="14.25" customHeight="1" thickBot="1">
      <c r="A79" s="138">
        <v>5860527</v>
      </c>
      <c r="B79" s="141">
        <v>46177</v>
      </c>
      <c r="C79" s="144"/>
    </row>
    <row r="80" spans="1:3" ht="14.25" customHeight="1" thickBot="1">
      <c r="A80" s="138">
        <v>5863496</v>
      </c>
      <c r="B80" s="141">
        <v>46177</v>
      </c>
      <c r="C80" s="144"/>
    </row>
    <row r="81" spans="1:3" ht="14.25" customHeight="1" thickBot="1">
      <c r="A81" s="138">
        <v>5860740</v>
      </c>
      <c r="B81" s="141">
        <v>46177</v>
      </c>
      <c r="C81" s="144"/>
    </row>
    <row r="82" spans="1:3" ht="14.25" customHeight="1" thickBot="1">
      <c r="A82" s="138">
        <v>5860545</v>
      </c>
      <c r="B82" s="141">
        <v>46177</v>
      </c>
      <c r="C82" s="144"/>
    </row>
    <row r="83" spans="1:3" ht="14.25" customHeight="1" thickBot="1">
      <c r="A83" s="138">
        <v>5863499</v>
      </c>
      <c r="B83" s="141">
        <v>46177</v>
      </c>
      <c r="C83" s="144"/>
    </row>
    <row r="84" spans="1:3" ht="14.25" customHeight="1" thickBot="1">
      <c r="A84" s="138">
        <v>5863495</v>
      </c>
      <c r="B84" s="141">
        <v>46177</v>
      </c>
      <c r="C84" s="144"/>
    </row>
    <row r="85" spans="1:3" ht="14.25" customHeight="1" thickBot="1">
      <c r="A85" s="138">
        <v>5863554</v>
      </c>
      <c r="B85" s="141">
        <v>46177</v>
      </c>
      <c r="C85" s="144"/>
    </row>
    <row r="86" spans="1:3" ht="14.25" customHeight="1" thickBot="1">
      <c r="A86" s="138">
        <v>5891141</v>
      </c>
      <c r="B86" s="141">
        <v>46177</v>
      </c>
      <c r="C86" s="144"/>
    </row>
    <row r="87" spans="1:3" ht="14.25" customHeight="1" thickBot="1">
      <c r="A87" s="138">
        <v>5891144</v>
      </c>
      <c r="B87" s="141">
        <v>46177</v>
      </c>
      <c r="C87" s="144"/>
    </row>
    <row r="88" spans="1:3" ht="14.25" customHeight="1" thickBot="1">
      <c r="A88" s="138">
        <v>5894351</v>
      </c>
      <c r="B88" s="141">
        <v>46177</v>
      </c>
      <c r="C88" s="144"/>
    </row>
    <row r="89" spans="1:3" ht="14.25" customHeight="1" thickBot="1">
      <c r="A89" s="138">
        <v>5894354</v>
      </c>
      <c r="B89" s="141">
        <v>46177</v>
      </c>
      <c r="C89" s="144"/>
    </row>
    <row r="90" spans="1:3" ht="14.25" customHeight="1" thickBot="1">
      <c r="A90" s="137">
        <v>5956180</v>
      </c>
      <c r="B90" s="140">
        <v>46178</v>
      </c>
      <c r="C90" s="140">
        <v>46178</v>
      </c>
    </row>
    <row r="91" spans="1:3" ht="14.25" customHeight="1" thickBot="1">
      <c r="A91" s="137">
        <v>1059000</v>
      </c>
      <c r="B91" s="140">
        <v>46178</v>
      </c>
      <c r="C91" s="142"/>
    </row>
    <row r="92" spans="1:3" ht="14.25" customHeight="1" thickBot="1">
      <c r="A92" s="137">
        <v>1058934</v>
      </c>
      <c r="B92" s="140">
        <v>46178</v>
      </c>
      <c r="C92" s="142"/>
    </row>
    <row r="93" spans="1:3" ht="14.25" customHeight="1" thickBot="1">
      <c r="A93" s="137">
        <v>1058873</v>
      </c>
      <c r="B93" s="140">
        <v>46178</v>
      </c>
      <c r="C93" s="140">
        <v>46189</v>
      </c>
    </row>
    <row r="94" spans="1:3" ht="14.25" customHeight="1" thickBot="1">
      <c r="A94" s="137">
        <v>5957115</v>
      </c>
      <c r="B94" s="140">
        <v>46181</v>
      </c>
      <c r="C94" s="140">
        <v>46181</v>
      </c>
    </row>
    <row r="95" spans="1:3" ht="14.25" customHeight="1" thickBot="1">
      <c r="A95" s="137">
        <v>5957105</v>
      </c>
      <c r="B95" s="140">
        <v>46181</v>
      </c>
      <c r="C95" s="140">
        <v>46181</v>
      </c>
    </row>
    <row r="96" spans="1:3" ht="14.25" customHeight="1" thickBot="1">
      <c r="A96" s="137">
        <v>5957110</v>
      </c>
      <c r="B96" s="140">
        <v>46181</v>
      </c>
      <c r="C96" s="140">
        <v>46181</v>
      </c>
    </row>
    <row r="97" spans="1:3" ht="14.25" customHeight="1" thickBot="1">
      <c r="A97" s="137">
        <v>5957126</v>
      </c>
      <c r="B97" s="140">
        <v>46181</v>
      </c>
      <c r="C97" s="140">
        <v>46181</v>
      </c>
    </row>
    <row r="98" spans="1:3" ht="14.25" customHeight="1" thickBot="1">
      <c r="A98" s="137">
        <v>5957879</v>
      </c>
      <c r="B98" s="140">
        <v>46182</v>
      </c>
      <c r="C98" s="140">
        <v>46182</v>
      </c>
    </row>
    <row r="99" spans="1:3" ht="14.25" customHeight="1" thickBot="1">
      <c r="A99" s="137">
        <v>5957881</v>
      </c>
      <c r="B99" s="140">
        <v>46182</v>
      </c>
      <c r="C99" s="140">
        <v>46182</v>
      </c>
    </row>
    <row r="100" spans="1:3" ht="14.25" customHeight="1" thickBot="1">
      <c r="A100" s="137">
        <v>5957740</v>
      </c>
      <c r="B100" s="140">
        <v>46182</v>
      </c>
      <c r="C100" s="140">
        <v>46182</v>
      </c>
    </row>
    <row r="101" spans="1:3" ht="14.25" customHeight="1" thickBot="1">
      <c r="A101" s="137">
        <v>5957745</v>
      </c>
      <c r="B101" s="140">
        <v>46182</v>
      </c>
      <c r="C101" s="140">
        <v>46182</v>
      </c>
    </row>
    <row r="102" spans="1:3" ht="14.25" customHeight="1" thickBot="1">
      <c r="A102" s="137">
        <v>5957632</v>
      </c>
      <c r="B102" s="140">
        <v>46182</v>
      </c>
      <c r="C102" s="142"/>
    </row>
    <row r="103" spans="1:3" ht="14.25" customHeight="1" thickBot="1">
      <c r="A103" s="137">
        <v>1058952</v>
      </c>
      <c r="B103" s="140">
        <v>46183</v>
      </c>
      <c r="C103" s="142"/>
    </row>
    <row r="104" spans="1:3" ht="14.25" customHeight="1" thickBot="1">
      <c r="A104" s="137">
        <v>5958714</v>
      </c>
      <c r="B104" s="140">
        <v>46183</v>
      </c>
      <c r="C104" s="141">
        <v>46191</v>
      </c>
    </row>
    <row r="105" spans="1:3" ht="14.25" customHeight="1" thickBot="1">
      <c r="A105" s="137">
        <v>5958718</v>
      </c>
      <c r="B105" s="140">
        <v>46183</v>
      </c>
      <c r="C105" s="141">
        <v>46191</v>
      </c>
    </row>
    <row r="106" spans="1:3" ht="14.25" customHeight="1" thickBot="1">
      <c r="A106" s="137">
        <v>5958724</v>
      </c>
      <c r="B106" s="140">
        <v>46183</v>
      </c>
      <c r="C106" s="141">
        <v>46191</v>
      </c>
    </row>
    <row r="107" spans="1:3" ht="14.25" customHeight="1" thickBot="1">
      <c r="A107" s="137">
        <v>5958097</v>
      </c>
      <c r="B107" s="140">
        <v>46183</v>
      </c>
      <c r="C107" s="141">
        <v>46188</v>
      </c>
    </row>
    <row r="108" spans="1:3" ht="14.25" customHeight="1" thickBot="1">
      <c r="A108" s="137">
        <v>5958089</v>
      </c>
      <c r="B108" s="140">
        <v>46183</v>
      </c>
      <c r="C108" s="141">
        <v>46188</v>
      </c>
    </row>
    <row r="109" spans="1:3" ht="14.25" customHeight="1" thickBot="1">
      <c r="A109" s="137">
        <v>1059062</v>
      </c>
      <c r="B109" s="140">
        <v>46183</v>
      </c>
      <c r="C109" s="142"/>
    </row>
    <row r="110" spans="1:3" ht="14.25" customHeight="1" thickBot="1">
      <c r="A110" s="137">
        <v>5958686</v>
      </c>
      <c r="B110" s="140">
        <v>46184</v>
      </c>
      <c r="C110" s="140">
        <v>46184</v>
      </c>
    </row>
    <row r="111" spans="1:3" ht="14.25" customHeight="1" thickBot="1">
      <c r="A111" s="137">
        <v>5958847</v>
      </c>
      <c r="B111" s="140">
        <v>46184</v>
      </c>
      <c r="C111" s="140">
        <v>46188</v>
      </c>
    </row>
    <row r="112" spans="1:3" ht="14.25" customHeight="1" thickBot="1">
      <c r="A112" s="137">
        <v>5958692</v>
      </c>
      <c r="B112" s="140">
        <v>46184</v>
      </c>
      <c r="C112" s="141">
        <v>46192</v>
      </c>
    </row>
    <row r="113" spans="1:3" ht="14.25" customHeight="1" thickBot="1">
      <c r="A113" s="137">
        <v>5959201</v>
      </c>
      <c r="B113" s="140">
        <v>46185</v>
      </c>
      <c r="C113" s="142"/>
    </row>
    <row r="114" spans="1:3" ht="14.25" customHeight="1" thickBot="1">
      <c r="A114" s="137">
        <v>1059064</v>
      </c>
      <c r="B114" s="140">
        <v>46185</v>
      </c>
      <c r="C114" s="142"/>
    </row>
    <row r="115" spans="1:3" ht="14.25" customHeight="1" thickBot="1">
      <c r="A115" s="137">
        <v>5960313</v>
      </c>
      <c r="B115" s="140">
        <v>46188</v>
      </c>
      <c r="C115" s="140">
        <v>46190</v>
      </c>
    </row>
    <row r="116" spans="1:3" ht="14.25" customHeight="1" thickBot="1">
      <c r="A116" s="137">
        <v>5960316</v>
      </c>
      <c r="B116" s="140">
        <v>46188</v>
      </c>
      <c r="C116" s="140">
        <v>46190</v>
      </c>
    </row>
    <row r="117" spans="1:3" ht="14.25" customHeight="1" thickBot="1">
      <c r="A117" s="137">
        <v>5960318</v>
      </c>
      <c r="B117" s="140">
        <v>46188</v>
      </c>
      <c r="C117" s="140">
        <v>46190</v>
      </c>
    </row>
    <row r="118" spans="1:3" ht="14.25" customHeight="1" thickBot="1">
      <c r="A118" s="137">
        <v>1059010</v>
      </c>
      <c r="B118" s="140">
        <v>46188</v>
      </c>
      <c r="C118" s="142"/>
    </row>
    <row r="119" spans="1:3" ht="14.25" customHeight="1" thickBot="1">
      <c r="A119" s="137">
        <v>5897516</v>
      </c>
      <c r="B119" s="140">
        <v>46188</v>
      </c>
      <c r="C119" s="140">
        <v>46188</v>
      </c>
    </row>
    <row r="120" spans="1:3" ht="14.25" customHeight="1" thickBot="1">
      <c r="A120" s="138">
        <v>5677685</v>
      </c>
      <c r="B120" s="140">
        <v>46189</v>
      </c>
      <c r="C120" s="140">
        <v>46189</v>
      </c>
    </row>
    <row r="121" spans="1:3" ht="14.25" customHeight="1" thickBot="1">
      <c r="A121" s="138">
        <v>5677695</v>
      </c>
      <c r="B121" s="140">
        <v>46189</v>
      </c>
      <c r="C121" s="140">
        <v>46189</v>
      </c>
    </row>
    <row r="122" spans="1:3" ht="14.25" customHeight="1" thickBot="1">
      <c r="A122" s="138">
        <v>5684475</v>
      </c>
      <c r="B122" s="140">
        <v>46189</v>
      </c>
      <c r="C122" s="140">
        <v>46189</v>
      </c>
    </row>
    <row r="123" spans="1:3" ht="14.25" customHeight="1" thickBot="1">
      <c r="A123" s="138">
        <v>5684511</v>
      </c>
      <c r="B123" s="140">
        <v>46189</v>
      </c>
      <c r="C123" s="140">
        <v>46189</v>
      </c>
    </row>
    <row r="124" spans="1:3" ht="14.25" customHeight="1" thickBot="1">
      <c r="A124" s="138">
        <v>5684519</v>
      </c>
      <c r="B124" s="140">
        <v>46189</v>
      </c>
      <c r="C124" s="140">
        <v>46189</v>
      </c>
    </row>
    <row r="125" spans="1:3" ht="14.25" customHeight="1" thickBot="1">
      <c r="A125" s="138">
        <v>5685563</v>
      </c>
      <c r="B125" s="140">
        <v>46189</v>
      </c>
      <c r="C125" s="140">
        <v>46189</v>
      </c>
    </row>
    <row r="126" spans="1:3" ht="14.25" customHeight="1" thickBot="1">
      <c r="A126" s="137">
        <v>5960659</v>
      </c>
      <c r="B126" s="140">
        <v>46189</v>
      </c>
      <c r="C126" s="140">
        <v>46191</v>
      </c>
    </row>
    <row r="127" spans="1:3" ht="14.25" customHeight="1" thickBot="1">
      <c r="A127" s="137">
        <v>5960719</v>
      </c>
      <c r="B127" s="140">
        <v>46189</v>
      </c>
      <c r="C127" s="140">
        <v>46190</v>
      </c>
    </row>
    <row r="128" spans="1:3" ht="14.25" customHeight="1" thickBot="1">
      <c r="A128" s="137">
        <v>5960725</v>
      </c>
      <c r="B128" s="140">
        <v>46189</v>
      </c>
      <c r="C128" s="140">
        <v>46190</v>
      </c>
    </row>
    <row r="129" spans="1:3" ht="14.25" customHeight="1" thickBot="1">
      <c r="A129" s="137">
        <v>5961137</v>
      </c>
      <c r="B129" s="140">
        <v>46159</v>
      </c>
      <c r="C129" s="142"/>
    </row>
    <row r="130" spans="1:3" ht="14.25" customHeight="1" thickBot="1">
      <c r="A130" s="137">
        <v>5961251</v>
      </c>
      <c r="B130" s="140">
        <v>46159</v>
      </c>
      <c r="C130" s="140">
        <v>46190</v>
      </c>
    </row>
    <row r="131" spans="1:3" ht="14.25" customHeight="1" thickBot="1">
      <c r="A131" s="139"/>
      <c r="B131" s="140">
        <v>46160</v>
      </c>
      <c r="C131" s="140">
        <v>46192</v>
      </c>
    </row>
    <row r="132" spans="1:3" ht="14.25" customHeight="1" thickBot="1">
      <c r="A132" s="137">
        <v>5961842</v>
      </c>
      <c r="B132" s="140">
        <v>46160</v>
      </c>
      <c r="C132" s="141">
        <v>46192</v>
      </c>
    </row>
    <row r="133" spans="1:3" ht="14.25" customHeight="1" thickBot="1">
      <c r="A133" s="137">
        <v>5961511</v>
      </c>
      <c r="B133" s="140">
        <v>46160</v>
      </c>
      <c r="C133" s="142"/>
    </row>
    <row r="134" spans="1:3" ht="14.25" customHeight="1" thickBot="1">
      <c r="A134" s="137">
        <v>5961846</v>
      </c>
      <c r="B134" s="140">
        <v>46160</v>
      </c>
      <c r="C134" s="141">
        <v>46192</v>
      </c>
    </row>
    <row r="135" spans="1:3" ht="14.25" customHeight="1" thickBot="1">
      <c r="A135" s="137">
        <v>5961845</v>
      </c>
      <c r="B135" s="140">
        <v>46160</v>
      </c>
      <c r="C135" s="141">
        <v>46192</v>
      </c>
    </row>
    <row r="136" spans="1:3" ht="14.25" customHeight="1" thickBot="1">
      <c r="A136" s="137">
        <v>5961847</v>
      </c>
      <c r="B136" s="140">
        <v>46160</v>
      </c>
      <c r="C136" s="141">
        <v>46192</v>
      </c>
    </row>
    <row r="137" spans="1:3" ht="14.25" customHeight="1" thickBot="1">
      <c r="A137" s="137">
        <v>5961848</v>
      </c>
      <c r="B137" s="140">
        <v>46160</v>
      </c>
      <c r="C137" s="141">
        <v>46192</v>
      </c>
    </row>
    <row r="138" spans="1:3" ht="14.25" customHeight="1" thickBot="1">
      <c r="A138" s="137">
        <v>5961852</v>
      </c>
      <c r="B138" s="140">
        <v>46160</v>
      </c>
      <c r="C138" s="141">
        <v>46192</v>
      </c>
    </row>
    <row r="139" spans="1:3" ht="14.25" customHeight="1" thickBot="1">
      <c r="A139" s="137">
        <v>5961855</v>
      </c>
      <c r="B139" s="140">
        <v>46160</v>
      </c>
      <c r="C139" s="141">
        <v>46192</v>
      </c>
    </row>
    <row r="140" spans="1:3" ht="14.25" customHeight="1" thickBot="1">
      <c r="A140" s="137">
        <v>5961849</v>
      </c>
      <c r="B140" s="140">
        <v>46160</v>
      </c>
      <c r="C140" s="141">
        <v>46192</v>
      </c>
    </row>
    <row r="141" spans="1:3" ht="14.25" customHeight="1" thickBot="1">
      <c r="A141" s="137">
        <v>5961851</v>
      </c>
      <c r="B141" s="140">
        <v>46160</v>
      </c>
      <c r="C141" s="141">
        <v>46192</v>
      </c>
    </row>
    <row r="142" spans="1:3" ht="14.25" customHeight="1" thickBot="1">
      <c r="A142" s="137">
        <v>5961854</v>
      </c>
      <c r="B142" s="140">
        <v>46160</v>
      </c>
      <c r="C142" s="141">
        <v>46192</v>
      </c>
    </row>
    <row r="143" spans="1:3" ht="14.25" customHeight="1" thickBot="1">
      <c r="A143" s="137">
        <v>5961612</v>
      </c>
      <c r="B143" s="140">
        <v>46160</v>
      </c>
      <c r="C143" s="140">
        <v>46191</v>
      </c>
    </row>
    <row r="144" spans="1:3" ht="14.25" customHeight="1" thickBot="1">
      <c r="A144" s="139"/>
      <c r="B144" s="139"/>
      <c r="C144" s="139"/>
    </row>
    <row r="145" spans="1:3" ht="14.25" customHeight="1" thickBot="1">
      <c r="A145" s="139"/>
      <c r="B145" s="139"/>
      <c r="C145" s="139"/>
    </row>
    <row r="146" spans="1:3" ht="14.25" customHeight="1" thickBot="1">
      <c r="A146" s="139"/>
      <c r="B146" s="139"/>
      <c r="C146" s="139"/>
    </row>
    <row r="147" spans="1:3" ht="14.25" customHeight="1" thickBot="1">
      <c r="A147" s="139"/>
      <c r="B147" s="139"/>
      <c r="C147" s="139"/>
    </row>
    <row r="148" spans="1:3" ht="14.25" customHeight="1" thickBot="1">
      <c r="A148" s="139"/>
      <c r="B148" s="139"/>
      <c r="C148" s="139"/>
    </row>
    <row r="149" spans="1:3" ht="14.25" customHeight="1" thickBot="1">
      <c r="A149" s="139"/>
      <c r="B149" s="139"/>
      <c r="C149" s="139"/>
    </row>
    <row r="150" spans="1:3" ht="14.25" customHeight="1" thickBot="1">
      <c r="A150" s="139"/>
      <c r="B150" s="139"/>
      <c r="C150" s="139"/>
    </row>
    <row r="151" spans="1:3" ht="14.25" customHeight="1" thickBot="1">
      <c r="A151" s="139"/>
      <c r="B151" s="139"/>
      <c r="C151" s="139"/>
    </row>
    <row r="152" spans="1:3" ht="14.25" customHeight="1" thickBot="1">
      <c r="A152" s="139"/>
      <c r="B152" s="139"/>
      <c r="C152" s="139"/>
    </row>
    <row r="153" spans="1:3" ht="14.25" customHeight="1" thickBot="1">
      <c r="A153" s="139"/>
      <c r="B153" s="139"/>
      <c r="C153" s="139"/>
    </row>
    <row r="154" spans="1:3" ht="14.25" customHeight="1" thickBot="1">
      <c r="A154" s="139"/>
      <c r="B154" s="139"/>
      <c r="C154" s="139"/>
    </row>
    <row r="155" spans="1:3" ht="14.25" customHeight="1" thickBot="1">
      <c r="A155" s="139"/>
      <c r="B155" s="139"/>
      <c r="C155" s="139"/>
    </row>
    <row r="156" spans="1:3" ht="14.25" customHeight="1" thickBot="1">
      <c r="A156" s="139"/>
      <c r="B156" s="139"/>
      <c r="C156" s="139"/>
    </row>
    <row r="157" spans="1:3" ht="14.25" customHeight="1" thickBot="1">
      <c r="A157" s="139"/>
      <c r="B157" s="139"/>
      <c r="C157" s="139"/>
    </row>
    <row r="158" spans="1:3" ht="14.25" customHeight="1" thickBot="1">
      <c r="A158" s="139"/>
      <c r="B158" s="139"/>
      <c r="C158" s="139"/>
    </row>
    <row r="159" spans="1:3" ht="14.25" customHeight="1" thickBot="1">
      <c r="A159" s="139"/>
      <c r="B159" s="139"/>
      <c r="C159" s="139"/>
    </row>
    <row r="160" spans="1:3" ht="14.25" customHeight="1" thickBot="1">
      <c r="A160" s="139"/>
      <c r="B160" s="139"/>
      <c r="C160" s="139"/>
    </row>
    <row r="161" spans="1:3" ht="14.25" customHeight="1" thickBot="1">
      <c r="A161" s="139"/>
      <c r="B161" s="139"/>
      <c r="C161" s="139"/>
    </row>
    <row r="162" spans="1:3" ht="14.25" customHeight="1" thickBot="1">
      <c r="A162" s="139"/>
      <c r="B162" s="139"/>
      <c r="C162" s="139"/>
    </row>
    <row r="163" spans="1:3" ht="14.25" customHeight="1" thickBot="1">
      <c r="A163" s="139"/>
      <c r="B163" s="139"/>
      <c r="C163" s="139"/>
    </row>
    <row r="164" spans="1:3" ht="14.25" customHeight="1" thickBot="1">
      <c r="A164" s="139"/>
      <c r="B164" s="139"/>
      <c r="C164" s="139"/>
    </row>
    <row r="165" spans="1:3" ht="14.25" customHeight="1" thickBot="1">
      <c r="A165" s="139"/>
      <c r="B165" s="139"/>
      <c r="C165" s="139"/>
    </row>
    <row r="166" spans="1:3" ht="14.25" customHeight="1" thickBot="1">
      <c r="A166" s="139"/>
      <c r="B166" s="139"/>
      <c r="C166" s="139"/>
    </row>
    <row r="167" spans="1:3" ht="14.25" customHeight="1" thickBot="1">
      <c r="A167" s="139"/>
      <c r="B167" s="139"/>
      <c r="C167" s="139"/>
    </row>
    <row r="168" spans="1:3" ht="14.25" customHeight="1" thickBot="1">
      <c r="A168" s="139"/>
      <c r="B168" s="139"/>
      <c r="C168" s="139"/>
    </row>
    <row r="169" spans="1:3" ht="14.25" customHeight="1" thickBot="1">
      <c r="A169" s="139"/>
      <c r="B169" s="139"/>
      <c r="C169" s="139"/>
    </row>
    <row r="170" spans="1:3" ht="14.25" customHeight="1" thickBot="1">
      <c r="A170" s="139"/>
      <c r="B170" s="139"/>
      <c r="C170" s="139"/>
    </row>
    <row r="171" spans="1:3" ht="14.25" customHeight="1" thickBot="1">
      <c r="A171" s="139"/>
      <c r="B171" s="139"/>
      <c r="C171" s="139"/>
    </row>
    <row r="172" spans="1:3" ht="14.25" customHeight="1" thickBot="1">
      <c r="A172" s="139"/>
      <c r="B172" s="139"/>
      <c r="C172" s="139"/>
    </row>
    <row r="173" spans="1:3" ht="14.25" customHeight="1" thickBot="1">
      <c r="A173" s="139"/>
      <c r="B173" s="139"/>
      <c r="C173" s="139"/>
    </row>
    <row r="174" spans="1:3" ht="14.25" customHeight="1" thickBot="1">
      <c r="A174" s="139"/>
      <c r="B174" s="139"/>
      <c r="C174" s="139"/>
    </row>
    <row r="175" spans="1:3" ht="14.25" customHeight="1" thickBot="1">
      <c r="A175" s="139"/>
      <c r="B175" s="139"/>
      <c r="C175" s="139"/>
    </row>
    <row r="176" spans="1:3" ht="14.25" customHeight="1" thickBot="1">
      <c r="A176" s="139"/>
      <c r="B176" s="139"/>
      <c r="C176" s="139"/>
    </row>
    <row r="177" spans="1:3" ht="14.25" customHeight="1" thickBot="1">
      <c r="A177" s="139"/>
      <c r="B177" s="139"/>
      <c r="C177" s="139"/>
    </row>
    <row r="178" spans="1:3" ht="14.25" customHeight="1" thickBot="1">
      <c r="A178" s="139"/>
      <c r="B178" s="139"/>
      <c r="C178" s="139"/>
    </row>
    <row r="179" spans="1:3" ht="14.25" customHeight="1" thickBot="1">
      <c r="A179" s="139"/>
      <c r="B179" s="139"/>
      <c r="C179" s="139"/>
    </row>
    <row r="180" spans="1:3" ht="14.25" customHeight="1" thickBot="1">
      <c r="A180" s="139"/>
      <c r="B180" s="139"/>
      <c r="C180" s="139"/>
    </row>
    <row r="181" spans="1:3" ht="14.25" customHeight="1" thickBot="1">
      <c r="A181" s="139"/>
      <c r="B181" s="139"/>
      <c r="C181" s="139"/>
    </row>
    <row r="182" spans="1:3" ht="14.25" customHeight="1" thickBot="1">
      <c r="A182" s="139"/>
      <c r="B182" s="139"/>
      <c r="C182" s="139"/>
    </row>
    <row r="183" spans="1:3" ht="14.25" customHeight="1" thickBot="1">
      <c r="A183" s="139"/>
      <c r="B183" s="139"/>
      <c r="C183" s="139"/>
    </row>
    <row r="184" spans="1:3" ht="14.25" customHeight="1" thickBot="1">
      <c r="A184" s="139"/>
      <c r="B184" s="139"/>
      <c r="C184" s="139"/>
    </row>
    <row r="185" spans="1:3" ht="14.25" customHeight="1" thickBot="1">
      <c r="A185" s="139"/>
      <c r="B185" s="139"/>
      <c r="C185" s="139"/>
    </row>
    <row r="186" spans="1:3" ht="14.25" customHeight="1" thickBot="1">
      <c r="A186" s="139"/>
      <c r="B186" s="139"/>
      <c r="C186" s="139"/>
    </row>
    <row r="187" spans="1:3" ht="14.25" customHeight="1" thickBot="1">
      <c r="A187" s="139"/>
      <c r="B187" s="139"/>
      <c r="C187" s="139"/>
    </row>
    <row r="188" spans="1:3" ht="14.25" customHeight="1" thickBot="1">
      <c r="A188" s="139"/>
      <c r="B188" s="139"/>
      <c r="C188" s="139"/>
    </row>
    <row r="189" spans="1:3" ht="14.25" customHeight="1" thickBot="1">
      <c r="A189" s="139"/>
      <c r="B189" s="139"/>
      <c r="C189" s="139"/>
    </row>
    <row r="190" spans="1:3" ht="14.25" customHeight="1" thickBot="1">
      <c r="A190" s="139"/>
      <c r="B190" s="139"/>
      <c r="C190" s="139"/>
    </row>
    <row r="191" spans="1:3" ht="14.25" customHeight="1" thickBot="1">
      <c r="A191" s="139"/>
      <c r="B191" s="139"/>
      <c r="C191" s="139"/>
    </row>
    <row r="192" spans="1:3" ht="14.25" customHeight="1" thickBot="1">
      <c r="A192" s="139"/>
      <c r="B192" s="139"/>
      <c r="C192" s="139"/>
    </row>
    <row r="193" spans="1:3" ht="14.25" customHeight="1" thickBot="1">
      <c r="A193" s="139"/>
      <c r="B193" s="139"/>
      <c r="C193" s="139"/>
    </row>
    <row r="194" spans="1:3" ht="14.25" customHeight="1" thickBot="1">
      <c r="A194" s="139"/>
      <c r="B194" s="139"/>
      <c r="C194" s="139"/>
    </row>
    <row r="195" spans="1:3" ht="14.25" customHeight="1" thickBot="1">
      <c r="A195" s="139"/>
      <c r="B195" s="139"/>
      <c r="C195" s="139"/>
    </row>
    <row r="196" spans="1:3" ht="14.25" customHeight="1" thickBot="1">
      <c r="A196" s="139"/>
      <c r="B196" s="139"/>
      <c r="C196" s="139"/>
    </row>
    <row r="197" spans="1:3" ht="14.25" customHeight="1" thickBot="1">
      <c r="A197" s="139"/>
      <c r="B197" s="139"/>
      <c r="C197" s="139"/>
    </row>
    <row r="198" spans="1:3" ht="14.25" customHeight="1" thickBot="1">
      <c r="A198" s="139"/>
      <c r="B198" s="139"/>
      <c r="C198" s="139"/>
    </row>
    <row r="199" spans="1:3" ht="14.25" customHeight="1" thickBot="1">
      <c r="A199" s="139"/>
      <c r="B199" s="139"/>
      <c r="C199" s="139"/>
    </row>
    <row r="200" spans="1:3" ht="14.25" customHeight="1" thickBot="1">
      <c r="A200" s="139"/>
      <c r="B200" s="139"/>
      <c r="C200" s="139"/>
    </row>
    <row r="201" spans="1:3" ht="14.25" customHeight="1" thickBot="1">
      <c r="A201" s="139"/>
      <c r="B201" s="139"/>
      <c r="C201" s="139"/>
    </row>
    <row r="202" spans="1:3" ht="14.25" customHeight="1" thickBot="1">
      <c r="A202" s="139"/>
      <c r="B202" s="139"/>
      <c r="C202" s="139"/>
    </row>
    <row r="203" spans="1:3" ht="14.25" customHeight="1" thickBot="1">
      <c r="A203" s="139"/>
      <c r="B203" s="139"/>
      <c r="C203" s="139"/>
    </row>
    <row r="204" spans="1:3" ht="14.25" customHeight="1" thickBot="1">
      <c r="A204" s="139"/>
      <c r="B204" s="139"/>
      <c r="C204" s="139"/>
    </row>
    <row r="205" spans="1:3" ht="14.25" customHeight="1" thickBot="1">
      <c r="A205" s="139"/>
      <c r="B205" s="139"/>
      <c r="C205" s="139"/>
    </row>
    <row r="206" spans="1:3" ht="14.25" customHeight="1" thickBot="1">
      <c r="A206" s="139"/>
      <c r="B206" s="139"/>
      <c r="C206" s="139"/>
    </row>
    <row r="207" spans="1:3" ht="14.25" customHeight="1" thickBot="1">
      <c r="A207" s="139"/>
      <c r="B207" s="139"/>
      <c r="C207" s="139"/>
    </row>
    <row r="208" spans="1:3" ht="14.25" customHeight="1" thickBot="1">
      <c r="A208" s="139"/>
      <c r="B208" s="139"/>
      <c r="C208" s="139"/>
    </row>
    <row r="209" spans="1:3" ht="14.25" customHeight="1" thickBot="1">
      <c r="A209" s="139"/>
      <c r="B209" s="139"/>
      <c r="C209" s="139"/>
    </row>
    <row r="210" spans="1:3" ht="14.25" customHeight="1" thickBot="1">
      <c r="A210" s="139"/>
      <c r="B210" s="139"/>
      <c r="C210" s="139"/>
    </row>
    <row r="211" spans="1:3" ht="14.25" customHeight="1" thickBot="1">
      <c r="A211" s="139"/>
      <c r="B211" s="139"/>
      <c r="C211" s="139"/>
    </row>
    <row r="212" spans="1:3" ht="14.25" customHeight="1" thickBot="1">
      <c r="A212" s="139"/>
      <c r="B212" s="139"/>
      <c r="C212" s="139"/>
    </row>
    <row r="213" spans="1:3" ht="14.25" customHeight="1" thickBot="1">
      <c r="A213" s="139"/>
      <c r="B213" s="139"/>
      <c r="C213" s="139"/>
    </row>
    <row r="214" spans="1:3" ht="14.25" customHeight="1" thickBot="1">
      <c r="A214" s="139"/>
      <c r="B214" s="139"/>
      <c r="C214" s="139"/>
    </row>
    <row r="215" spans="1:3" ht="14.25" customHeight="1" thickBot="1">
      <c r="A215" s="139"/>
      <c r="B215" s="139"/>
      <c r="C215" s="139"/>
    </row>
    <row r="216" spans="1:3" ht="14.25" customHeight="1" thickBot="1">
      <c r="A216" s="139"/>
      <c r="B216" s="139"/>
      <c r="C216" s="139"/>
    </row>
    <row r="217" spans="1:3" ht="14.25" customHeight="1" thickBot="1">
      <c r="A217" s="139"/>
      <c r="B217" s="139"/>
      <c r="C217" s="139"/>
    </row>
    <row r="218" spans="1:3" ht="14.25" customHeight="1" thickBot="1">
      <c r="A218" s="139"/>
      <c r="B218" s="139"/>
      <c r="C218" s="139"/>
    </row>
    <row r="219" spans="1:3" ht="14.25" customHeight="1" thickBot="1">
      <c r="A219" s="139"/>
      <c r="B219" s="139"/>
      <c r="C219" s="139"/>
    </row>
    <row r="220" spans="1:3" ht="14.25" customHeight="1" thickBot="1">
      <c r="A220" s="139"/>
      <c r="B220" s="139"/>
      <c r="C220" s="139"/>
    </row>
    <row r="221" spans="1:3" ht="14.25" customHeight="1" thickBot="1">
      <c r="A221" s="139"/>
      <c r="B221" s="139"/>
      <c r="C221" s="139"/>
    </row>
    <row r="222" spans="1:3" ht="14.25" customHeight="1" thickBot="1">
      <c r="A222" s="139"/>
      <c r="B222" s="139"/>
      <c r="C222" s="139"/>
    </row>
    <row r="223" spans="1:3" ht="14.25" customHeight="1" thickBot="1">
      <c r="A223" s="139"/>
      <c r="B223" s="139"/>
      <c r="C223" s="139"/>
    </row>
    <row r="224" spans="1:3" ht="14.25" customHeight="1" thickBot="1">
      <c r="A224" s="139"/>
      <c r="B224" s="139"/>
      <c r="C224" s="139"/>
    </row>
    <row r="225" spans="1:3" ht="14.25" customHeight="1" thickBot="1">
      <c r="A225" s="139"/>
      <c r="B225" s="139"/>
      <c r="C225" s="139"/>
    </row>
    <row r="226" spans="1:3" ht="14.25" customHeight="1" thickBot="1">
      <c r="A226" s="139"/>
      <c r="B226" s="139"/>
      <c r="C226" s="139"/>
    </row>
    <row r="227" spans="1:3" ht="14.25" customHeight="1" thickBot="1">
      <c r="A227" s="139"/>
      <c r="B227" s="139"/>
      <c r="C227" s="139"/>
    </row>
    <row r="228" spans="1:3" ht="14.25" customHeight="1" thickBot="1">
      <c r="A228" s="139"/>
      <c r="B228" s="139"/>
      <c r="C228" s="139"/>
    </row>
    <row r="229" spans="1:3" ht="14.25" customHeight="1" thickBot="1">
      <c r="A229" s="139"/>
      <c r="B229" s="139"/>
      <c r="C229" s="139"/>
    </row>
    <row r="230" spans="1:3" ht="14.25" customHeight="1" thickBot="1">
      <c r="A230" s="139"/>
      <c r="B230" s="139"/>
      <c r="C230" s="139"/>
    </row>
    <row r="231" spans="1:3" ht="14.25" customHeight="1" thickBot="1">
      <c r="A231" s="139"/>
      <c r="B231" s="139"/>
      <c r="C231" s="139"/>
    </row>
    <row r="232" spans="1:3" ht="14.25" customHeight="1" thickBot="1">
      <c r="A232" s="139"/>
      <c r="B232" s="139"/>
      <c r="C232" s="139"/>
    </row>
    <row r="233" spans="1:3" ht="14.25" customHeight="1" thickBot="1">
      <c r="A233" s="139"/>
      <c r="B233" s="139"/>
      <c r="C233" s="139"/>
    </row>
    <row r="234" spans="1:3" ht="14.25" customHeight="1" thickBot="1">
      <c r="A234" s="139"/>
      <c r="B234" s="139"/>
      <c r="C234" s="139"/>
    </row>
    <row r="235" spans="1:3" ht="14.25" customHeight="1" thickBot="1">
      <c r="A235" s="139"/>
      <c r="B235" s="139"/>
      <c r="C235" s="139"/>
    </row>
    <row r="236" spans="1:3" ht="14.25" customHeight="1" thickBot="1">
      <c r="A236" s="139"/>
      <c r="B236" s="139"/>
      <c r="C236" s="139"/>
    </row>
    <row r="237" spans="1:3" ht="14.25" customHeight="1" thickBot="1">
      <c r="A237" s="139"/>
      <c r="B237" s="139"/>
      <c r="C237" s="139"/>
    </row>
    <row r="238" spans="1:3" ht="14.25" customHeight="1" thickBot="1">
      <c r="A238" s="139"/>
      <c r="B238" s="139"/>
      <c r="C238" s="139"/>
    </row>
    <row r="239" spans="1:3" ht="14.25" customHeight="1" thickBot="1">
      <c r="A239" s="139"/>
      <c r="B239" s="139"/>
      <c r="C239" s="139"/>
    </row>
    <row r="240" spans="1:3" ht="14.25" customHeight="1" thickBot="1">
      <c r="A240" s="139"/>
      <c r="B240" s="139"/>
      <c r="C240" s="139"/>
    </row>
    <row r="241" spans="1:3" ht="14.25" customHeight="1" thickBot="1">
      <c r="A241" s="139"/>
      <c r="B241" s="139"/>
      <c r="C241" s="139"/>
    </row>
    <row r="242" spans="1:3" ht="14.25" customHeight="1" thickBot="1">
      <c r="A242" s="139"/>
      <c r="B242" s="139"/>
      <c r="C242" s="139"/>
    </row>
    <row r="243" spans="1:3" ht="14.25" customHeight="1" thickBot="1">
      <c r="A243" s="139"/>
      <c r="B243" s="139"/>
      <c r="C243" s="139"/>
    </row>
    <row r="244" spans="1:3" ht="14.25" customHeight="1" thickBot="1">
      <c r="A244" s="139"/>
      <c r="B244" s="139"/>
      <c r="C244" s="139"/>
    </row>
    <row r="245" spans="1:3" ht="14.25" customHeight="1" thickBot="1">
      <c r="A245" s="139"/>
      <c r="B245" s="139"/>
      <c r="C245" s="139"/>
    </row>
    <row r="246" spans="1:3" ht="14.25" customHeight="1" thickBot="1">
      <c r="A246" s="139"/>
      <c r="B246" s="139"/>
      <c r="C246" s="139"/>
    </row>
    <row r="247" spans="1:3" ht="14.25" customHeight="1" thickBot="1">
      <c r="A247" s="139"/>
      <c r="B247" s="139"/>
      <c r="C247" s="139"/>
    </row>
    <row r="248" spans="1:3" ht="14.25" customHeight="1" thickBot="1">
      <c r="A248" s="139"/>
      <c r="B248" s="139"/>
      <c r="C248" s="139"/>
    </row>
    <row r="249" spans="1:3" ht="14.25" customHeight="1" thickBot="1">
      <c r="A249" s="139"/>
      <c r="B249" s="139"/>
      <c r="C249" s="139"/>
    </row>
    <row r="250" spans="1:3" ht="14.25" customHeight="1" thickBot="1">
      <c r="A250" s="139"/>
      <c r="B250" s="139"/>
      <c r="C250" s="139"/>
    </row>
    <row r="251" spans="1:3" ht="14.25" customHeight="1" thickBot="1">
      <c r="A251" s="139"/>
      <c r="B251" s="139"/>
      <c r="C251" s="139"/>
    </row>
    <row r="252" spans="1:3" ht="14.25" customHeight="1" thickBot="1">
      <c r="A252" s="139"/>
      <c r="B252" s="139"/>
      <c r="C252" s="139"/>
    </row>
    <row r="253" spans="1:3" ht="14.25" customHeight="1" thickBot="1">
      <c r="A253" s="139"/>
      <c r="B253" s="139"/>
      <c r="C253" s="139"/>
    </row>
    <row r="254" spans="1:3" ht="14.25" customHeight="1" thickBot="1">
      <c r="A254" s="139"/>
      <c r="B254" s="139"/>
      <c r="C254" s="139"/>
    </row>
    <row r="255" spans="1:3" ht="14.25" customHeight="1" thickBot="1">
      <c r="A255" s="139"/>
      <c r="B255" s="139"/>
      <c r="C255" s="139"/>
    </row>
    <row r="256" spans="1:3" ht="14.25" customHeight="1" thickBot="1">
      <c r="A256" s="139"/>
      <c r="B256" s="139"/>
      <c r="C256" s="139"/>
    </row>
    <row r="257" spans="1:3" ht="14.25" customHeight="1" thickBot="1">
      <c r="A257" s="139"/>
      <c r="B257" s="139"/>
      <c r="C257" s="139"/>
    </row>
    <row r="258" spans="1:3" ht="14.25" customHeight="1" thickBot="1">
      <c r="A258" s="139"/>
      <c r="B258" s="139"/>
      <c r="C258" s="139"/>
    </row>
    <row r="259" spans="1:3" ht="14.25" customHeight="1" thickBot="1">
      <c r="A259" s="139"/>
      <c r="B259" s="139"/>
      <c r="C259" s="139"/>
    </row>
    <row r="260" spans="1:3" ht="14.25" customHeight="1" thickBot="1">
      <c r="A260" s="139"/>
      <c r="B260" s="139"/>
      <c r="C260" s="139"/>
    </row>
    <row r="261" spans="1:3" ht="14.25" customHeight="1" thickBot="1">
      <c r="A261" s="139"/>
      <c r="B261" s="139"/>
      <c r="C261" s="139"/>
    </row>
    <row r="262" spans="1:3" ht="14.25" customHeight="1" thickBot="1">
      <c r="A262" s="139"/>
      <c r="B262" s="139"/>
      <c r="C262" s="139"/>
    </row>
    <row r="263" spans="1:3" ht="14.25" customHeight="1" thickBot="1">
      <c r="A263" s="139"/>
      <c r="B263" s="139"/>
      <c r="C263" s="139"/>
    </row>
    <row r="264" spans="1:3" ht="14.25" customHeight="1" thickBot="1">
      <c r="A264" s="139"/>
      <c r="B264" s="139"/>
      <c r="C264" s="139"/>
    </row>
    <row r="265" spans="1:3" ht="14.25" customHeight="1" thickBot="1">
      <c r="A265" s="139"/>
      <c r="B265" s="139"/>
      <c r="C265" s="139"/>
    </row>
    <row r="266" spans="1:3" ht="14.25" customHeight="1" thickBot="1">
      <c r="A266" s="139"/>
      <c r="B266" s="139"/>
      <c r="C266" s="139"/>
    </row>
    <row r="267" spans="1:3" ht="14.25" customHeight="1" thickBot="1">
      <c r="A267" s="139"/>
      <c r="B267" s="139"/>
      <c r="C267" s="139"/>
    </row>
    <row r="268" spans="1:3" ht="14.25" customHeight="1" thickBot="1">
      <c r="A268" s="139"/>
      <c r="B268" s="139"/>
      <c r="C268" s="139"/>
    </row>
    <row r="269" spans="1:3" ht="14.25" customHeight="1" thickBot="1">
      <c r="A269" s="139"/>
      <c r="B269" s="139"/>
      <c r="C269" s="139"/>
    </row>
    <row r="270" spans="1:3" ht="14.25" customHeight="1" thickBot="1">
      <c r="A270" s="139"/>
      <c r="B270" s="139"/>
      <c r="C270" s="139"/>
    </row>
    <row r="271" spans="1:3" ht="14.25" customHeight="1" thickBot="1">
      <c r="A271" s="139"/>
      <c r="B271" s="139"/>
      <c r="C271" s="139"/>
    </row>
    <row r="272" spans="1:3" ht="14.25" customHeight="1" thickBot="1">
      <c r="A272" s="139"/>
      <c r="B272" s="139"/>
      <c r="C272" s="139"/>
    </row>
    <row r="273" spans="1:3" ht="14.25" customHeight="1" thickBot="1">
      <c r="A273" s="139"/>
      <c r="B273" s="139"/>
      <c r="C273" s="139"/>
    </row>
    <row r="274" spans="1:3" ht="14.25" customHeight="1" thickBot="1">
      <c r="A274" s="139"/>
      <c r="B274" s="139"/>
      <c r="C274" s="139"/>
    </row>
    <row r="275" spans="1:3" ht="14.25" customHeight="1" thickBot="1">
      <c r="A275" s="139"/>
      <c r="B275" s="139"/>
      <c r="C275" s="139"/>
    </row>
    <row r="276" spans="1:3" ht="14.25" customHeight="1" thickBot="1">
      <c r="A276" s="139"/>
      <c r="B276" s="139"/>
      <c r="C276" s="139"/>
    </row>
    <row r="277" spans="1:3" ht="14.25" customHeight="1" thickBot="1">
      <c r="A277" s="139"/>
      <c r="B277" s="139"/>
      <c r="C277" s="139"/>
    </row>
    <row r="278" spans="1:3" ht="14.25" customHeight="1" thickBot="1">
      <c r="A278" s="139"/>
      <c r="B278" s="139"/>
      <c r="C278" s="139"/>
    </row>
    <row r="279" spans="1:3" ht="14.25" customHeight="1" thickBot="1">
      <c r="A279" s="139"/>
      <c r="B279" s="139"/>
      <c r="C279" s="139"/>
    </row>
    <row r="280" spans="1:3" ht="14.25" customHeight="1" thickBot="1">
      <c r="A280" s="139"/>
      <c r="B280" s="139"/>
      <c r="C280" s="139"/>
    </row>
    <row r="281" spans="1:3" ht="14.25" customHeight="1" thickBot="1">
      <c r="A281" s="139"/>
      <c r="B281" s="139"/>
      <c r="C281" s="139"/>
    </row>
    <row r="282" spans="1:3" ht="14.25" customHeight="1" thickBot="1">
      <c r="A282" s="139"/>
      <c r="B282" s="139"/>
      <c r="C282" s="139"/>
    </row>
    <row r="283" spans="1:3" ht="14.25" customHeight="1" thickBot="1">
      <c r="A283" s="139"/>
      <c r="B283" s="139"/>
      <c r="C283" s="139"/>
    </row>
    <row r="284" spans="1:3" ht="14.25" customHeight="1" thickBot="1">
      <c r="A284" s="139"/>
      <c r="B284" s="139"/>
      <c r="C284" s="139"/>
    </row>
    <row r="285" spans="1:3" ht="14.25" customHeight="1" thickBot="1">
      <c r="A285" s="139"/>
      <c r="B285" s="139"/>
      <c r="C285" s="139"/>
    </row>
    <row r="286" spans="1:3" ht="14.25" customHeight="1" thickBot="1">
      <c r="A286" s="139"/>
      <c r="B286" s="139"/>
      <c r="C286" s="139"/>
    </row>
    <row r="287" spans="1:3" ht="14.25" customHeight="1" thickBot="1">
      <c r="A287" s="139"/>
      <c r="B287" s="139"/>
      <c r="C287" s="139"/>
    </row>
    <row r="288" spans="1:3" ht="14.25" customHeight="1" thickBot="1">
      <c r="A288" s="139"/>
      <c r="B288" s="139"/>
      <c r="C288" s="139"/>
    </row>
    <row r="289" spans="1:3" ht="14.25" customHeight="1" thickBot="1">
      <c r="A289" s="139"/>
      <c r="B289" s="139"/>
      <c r="C289" s="139"/>
    </row>
    <row r="290" spans="1:3" ht="14.25" customHeight="1" thickBot="1">
      <c r="A290" s="139"/>
      <c r="B290" s="139"/>
      <c r="C290" s="139"/>
    </row>
    <row r="291" spans="1:3" ht="14.25" customHeight="1" thickBot="1">
      <c r="A291" s="139"/>
      <c r="B291" s="139"/>
      <c r="C291" s="139"/>
    </row>
    <row r="292" spans="1:3" ht="14.25" customHeight="1" thickBot="1">
      <c r="A292" s="139"/>
      <c r="B292" s="139"/>
      <c r="C292" s="139"/>
    </row>
    <row r="293" spans="1:3" ht="14.25" customHeight="1" thickBot="1">
      <c r="A293" s="139"/>
      <c r="B293" s="139"/>
      <c r="C293" s="139"/>
    </row>
    <row r="294" spans="1:3" ht="14.25" customHeight="1" thickBot="1">
      <c r="A294" s="139"/>
      <c r="B294" s="139"/>
      <c r="C294" s="139"/>
    </row>
    <row r="295" spans="1:3" ht="14.25" customHeight="1" thickBot="1">
      <c r="A295" s="139"/>
      <c r="B295" s="139"/>
      <c r="C295" s="139"/>
    </row>
    <row r="296" spans="1:3" ht="14.25" customHeight="1" thickBot="1">
      <c r="A296" s="139"/>
      <c r="B296" s="139"/>
      <c r="C296" s="139"/>
    </row>
    <row r="297" spans="1:3" ht="14.25" customHeight="1" thickBot="1">
      <c r="A297" s="139"/>
      <c r="B297" s="139"/>
      <c r="C297" s="139"/>
    </row>
    <row r="298" spans="1:3" ht="14.25" customHeight="1" thickBot="1">
      <c r="A298" s="139"/>
      <c r="B298" s="139"/>
      <c r="C298" s="139"/>
    </row>
    <row r="299" spans="1:3" ht="14.25" customHeight="1" thickBot="1">
      <c r="A299" s="139"/>
      <c r="B299" s="139"/>
      <c r="C299" s="139"/>
    </row>
    <row r="300" spans="1:3" ht="14.25" customHeight="1" thickBot="1">
      <c r="A300" s="139"/>
      <c r="B300" s="139"/>
      <c r="C300" s="139"/>
    </row>
    <row r="301" spans="1:3" ht="14.25" customHeight="1" thickBot="1">
      <c r="A301" s="139"/>
      <c r="B301" s="139"/>
      <c r="C301" s="139"/>
    </row>
    <row r="302" spans="1:3" ht="14.25" customHeight="1" thickBot="1">
      <c r="A302" s="139"/>
      <c r="B302" s="139"/>
      <c r="C302" s="139"/>
    </row>
    <row r="303" spans="1:3" ht="14.25" customHeight="1" thickBot="1">
      <c r="A303" s="139"/>
      <c r="B303" s="139"/>
      <c r="C303" s="139"/>
    </row>
    <row r="304" spans="1:3" ht="14.25" customHeight="1" thickBot="1">
      <c r="A304" s="139"/>
      <c r="B304" s="139"/>
      <c r="C304" s="139"/>
    </row>
    <row r="305" spans="1:3" ht="14.25" customHeight="1" thickBot="1">
      <c r="A305" s="139"/>
      <c r="B305" s="139"/>
      <c r="C305" s="139"/>
    </row>
    <row r="306" spans="1:3" ht="14.25" customHeight="1" thickBot="1">
      <c r="A306" s="139"/>
      <c r="B306" s="139"/>
      <c r="C306" s="139"/>
    </row>
    <row r="307" spans="1:3" ht="14.25" customHeight="1" thickBot="1">
      <c r="A307" s="139"/>
      <c r="B307" s="139"/>
      <c r="C307" s="139"/>
    </row>
    <row r="308" spans="1:3" ht="14.25" customHeight="1" thickBot="1">
      <c r="A308" s="139"/>
      <c r="B308" s="139"/>
      <c r="C308" s="139"/>
    </row>
    <row r="309" spans="1:3" ht="14.25" customHeight="1" thickBot="1">
      <c r="A309" s="139"/>
      <c r="B309" s="139"/>
      <c r="C309" s="139"/>
    </row>
    <row r="310" spans="1:3" ht="14.25" customHeight="1" thickBot="1">
      <c r="A310" s="139"/>
      <c r="B310" s="139"/>
      <c r="C310" s="139"/>
    </row>
    <row r="311" spans="1:3" ht="14.25" customHeight="1" thickBot="1">
      <c r="A311" s="139"/>
      <c r="B311" s="139"/>
      <c r="C311" s="139"/>
    </row>
    <row r="312" spans="1:3" ht="14.25" customHeight="1" thickBot="1">
      <c r="A312" s="139"/>
      <c r="B312" s="139"/>
      <c r="C312" s="139"/>
    </row>
    <row r="313" spans="1:3" ht="14.25" customHeight="1" thickBot="1">
      <c r="A313" s="139"/>
      <c r="B313" s="139"/>
      <c r="C313" s="139"/>
    </row>
    <row r="314" spans="1:3" ht="14.25" customHeight="1" thickBot="1">
      <c r="A314" s="139"/>
      <c r="B314" s="139"/>
      <c r="C314" s="139"/>
    </row>
    <row r="315" spans="1:3" ht="14.25" customHeight="1" thickBot="1">
      <c r="A315" s="139"/>
      <c r="B315" s="139"/>
      <c r="C315" s="139"/>
    </row>
    <row r="316" spans="1:3" ht="14.25" customHeight="1" thickBot="1">
      <c r="A316" s="139"/>
      <c r="B316" s="139"/>
      <c r="C316" s="139"/>
    </row>
    <row r="317" spans="1:3" ht="14.25" customHeight="1" thickBot="1">
      <c r="A317" s="139"/>
      <c r="B317" s="139"/>
      <c r="C317" s="139"/>
    </row>
    <row r="318" spans="1:3" ht="14.25" customHeight="1" thickBot="1">
      <c r="A318" s="139"/>
      <c r="B318" s="139"/>
      <c r="C318" s="139"/>
    </row>
    <row r="319" spans="1:3" ht="14.25" customHeight="1" thickBot="1">
      <c r="A319" s="139"/>
      <c r="B319" s="139"/>
      <c r="C319" s="139"/>
    </row>
    <row r="320" spans="1:3" ht="14.25" customHeight="1" thickBot="1">
      <c r="A320" s="139"/>
      <c r="B320" s="139"/>
      <c r="C320" s="139"/>
    </row>
    <row r="321" spans="1:3" ht="14.25" customHeight="1" thickBot="1">
      <c r="A321" s="139"/>
      <c r="B321" s="139"/>
      <c r="C321" s="139"/>
    </row>
    <row r="322" spans="1:3" ht="14.25" customHeight="1" thickBot="1">
      <c r="A322" s="139"/>
      <c r="B322" s="139"/>
      <c r="C322" s="139"/>
    </row>
    <row r="323" spans="1:3" ht="14.25" customHeight="1" thickBot="1">
      <c r="A323" s="139"/>
      <c r="B323" s="139"/>
      <c r="C323" s="139"/>
    </row>
    <row r="324" spans="1:3" ht="14.25" customHeight="1" thickBot="1">
      <c r="A324" s="139"/>
      <c r="B324" s="139"/>
      <c r="C324" s="139"/>
    </row>
    <row r="325" spans="1:3" ht="14.25" customHeight="1" thickBot="1">
      <c r="A325" s="139"/>
      <c r="B325" s="139"/>
      <c r="C325" s="139"/>
    </row>
    <row r="326" spans="1:3" ht="14.25" customHeight="1" thickBot="1">
      <c r="A326" s="139"/>
      <c r="B326" s="139"/>
      <c r="C326" s="139"/>
    </row>
    <row r="327" spans="1:3" ht="14.25" customHeight="1" thickBot="1">
      <c r="A327" s="139"/>
      <c r="B327" s="139"/>
      <c r="C327" s="139"/>
    </row>
    <row r="328" spans="1:3" ht="14.25" customHeight="1" thickBot="1">
      <c r="A328" s="139"/>
      <c r="B328" s="139"/>
      <c r="C328" s="139"/>
    </row>
    <row r="329" spans="1:3" ht="14.25" customHeight="1" thickBot="1">
      <c r="A329" s="139"/>
      <c r="B329" s="139"/>
      <c r="C329" s="139"/>
    </row>
    <row r="330" spans="1:3" ht="14.25" customHeight="1" thickBot="1">
      <c r="A330" s="139"/>
      <c r="B330" s="139"/>
      <c r="C330" s="139"/>
    </row>
    <row r="331" spans="1:3" ht="14.25" customHeight="1" thickBot="1">
      <c r="A331" s="139"/>
      <c r="B331" s="139"/>
      <c r="C331" s="139"/>
    </row>
    <row r="332" spans="1:3" ht="14.25" customHeight="1" thickBot="1">
      <c r="A332" s="139"/>
      <c r="B332" s="139"/>
      <c r="C332" s="139"/>
    </row>
    <row r="333" spans="1:3" ht="14.25" customHeight="1" thickBot="1">
      <c r="A333" s="139"/>
      <c r="B333" s="139"/>
      <c r="C333" s="139"/>
    </row>
    <row r="334" spans="1:3" ht="14.25" customHeight="1" thickBot="1">
      <c r="A334" s="139"/>
      <c r="B334" s="139"/>
      <c r="C334" s="139"/>
    </row>
    <row r="335" spans="1:3" ht="14.25" customHeight="1" thickBot="1">
      <c r="A335" s="139"/>
      <c r="B335" s="139"/>
      <c r="C335" s="139"/>
    </row>
    <row r="336" spans="1:3" ht="14.25" customHeight="1" thickBot="1">
      <c r="A336" s="139"/>
      <c r="B336" s="139"/>
      <c r="C336" s="139"/>
    </row>
    <row r="337" spans="1:3" ht="14.25" customHeight="1" thickBot="1">
      <c r="A337" s="139"/>
      <c r="B337" s="139"/>
      <c r="C337" s="139"/>
    </row>
    <row r="338" spans="1:3" ht="14.25" customHeight="1" thickBot="1">
      <c r="A338" s="139"/>
      <c r="B338" s="139"/>
      <c r="C338" s="139"/>
    </row>
    <row r="339" spans="1:3" ht="14.25" customHeight="1" thickBot="1">
      <c r="A339" s="139"/>
      <c r="B339" s="139"/>
      <c r="C339" s="139"/>
    </row>
    <row r="340" spans="1:3" ht="14.25" customHeight="1" thickBot="1">
      <c r="A340" s="139"/>
      <c r="B340" s="139"/>
      <c r="C340" s="139"/>
    </row>
    <row r="341" spans="1:3" ht="14.25" customHeight="1" thickBot="1">
      <c r="A341" s="139"/>
      <c r="B341" s="139"/>
      <c r="C341" s="139"/>
    </row>
    <row r="342" spans="1:3" ht="14.25" customHeight="1" thickBot="1">
      <c r="A342" s="139"/>
      <c r="B342" s="139"/>
      <c r="C342" s="139"/>
    </row>
    <row r="343" spans="1:3" ht="14.25" customHeight="1" thickBot="1">
      <c r="A343" s="139"/>
      <c r="B343" s="139"/>
      <c r="C343" s="139"/>
    </row>
    <row r="344" spans="1:3" ht="14.25" customHeight="1" thickBot="1">
      <c r="A344" s="139"/>
      <c r="B344" s="139"/>
      <c r="C344" s="139"/>
    </row>
    <row r="345" spans="1:3" ht="14.25" customHeight="1" thickBot="1">
      <c r="A345" s="139"/>
      <c r="B345" s="139"/>
      <c r="C345" s="139"/>
    </row>
    <row r="346" spans="1:3" ht="14.25" customHeight="1" thickBot="1">
      <c r="A346" s="139"/>
      <c r="B346" s="139"/>
      <c r="C346" s="139"/>
    </row>
    <row r="347" spans="1:3" ht="14.25" customHeight="1" thickBot="1">
      <c r="A347" s="139"/>
      <c r="B347" s="139"/>
      <c r="C347" s="139"/>
    </row>
    <row r="348" spans="1:3" ht="14.25" customHeight="1" thickBot="1">
      <c r="A348" s="139"/>
      <c r="B348" s="139"/>
      <c r="C348" s="139"/>
    </row>
    <row r="349" spans="1:3" ht="14.25" customHeight="1" thickBot="1">
      <c r="A349" s="139"/>
      <c r="B349" s="139"/>
      <c r="C349" s="139"/>
    </row>
    <row r="350" spans="1:3" ht="14.25" customHeight="1" thickBot="1">
      <c r="A350" s="139"/>
      <c r="B350" s="139"/>
      <c r="C350" s="139"/>
    </row>
    <row r="351" spans="1:3" ht="14.25" customHeight="1" thickBot="1">
      <c r="A351" s="139"/>
      <c r="B351" s="139"/>
      <c r="C351" s="139"/>
    </row>
    <row r="352" spans="1:3" ht="14.25" customHeight="1" thickBot="1">
      <c r="A352" s="139"/>
      <c r="B352" s="139"/>
      <c r="C352" s="139"/>
    </row>
    <row r="353" spans="1:3" ht="14.25" customHeight="1" thickBot="1">
      <c r="A353" s="139"/>
      <c r="B353" s="139"/>
      <c r="C353" s="139"/>
    </row>
    <row r="354" spans="1:3" ht="14.25" customHeight="1" thickBot="1">
      <c r="A354" s="139"/>
      <c r="B354" s="139"/>
      <c r="C354" s="139"/>
    </row>
    <row r="355" spans="1:3" ht="14.25" customHeight="1" thickBot="1">
      <c r="A355" s="139"/>
      <c r="B355" s="139"/>
      <c r="C355" s="139"/>
    </row>
    <row r="356" spans="1:3" ht="14.25" customHeight="1" thickBot="1">
      <c r="A356" s="139"/>
      <c r="B356" s="139"/>
      <c r="C356" s="139"/>
    </row>
    <row r="357" spans="1:3" ht="14.25" customHeight="1" thickBot="1">
      <c r="A357" s="139"/>
      <c r="B357" s="139"/>
      <c r="C357" s="139"/>
    </row>
    <row r="358" spans="1:3" ht="14.25" customHeight="1" thickBot="1">
      <c r="A358" s="139"/>
      <c r="B358" s="139"/>
      <c r="C358" s="139"/>
    </row>
    <row r="359" spans="1:3" ht="14.25" customHeight="1" thickBot="1">
      <c r="A359" s="139"/>
      <c r="B359" s="139"/>
      <c r="C359" s="139"/>
    </row>
    <row r="360" spans="1:3" ht="14.25" customHeight="1" thickBot="1">
      <c r="A360" s="139"/>
      <c r="B360" s="139"/>
      <c r="C360" s="139"/>
    </row>
    <row r="361" spans="1:3" ht="14.25" customHeight="1" thickBot="1">
      <c r="A361" s="139"/>
      <c r="B361" s="139"/>
      <c r="C361" s="139"/>
    </row>
    <row r="362" spans="1:3" ht="14.25" customHeight="1" thickBot="1">
      <c r="A362" s="139"/>
      <c r="B362" s="139"/>
      <c r="C362" s="139"/>
    </row>
    <row r="363" spans="1:3" ht="14.25" customHeight="1" thickBot="1">
      <c r="A363" s="139"/>
      <c r="B363" s="139"/>
      <c r="C363" s="139"/>
    </row>
    <row r="364" spans="1:3" ht="14.25" customHeight="1" thickBot="1">
      <c r="A364" s="139"/>
      <c r="B364" s="139"/>
      <c r="C364" s="139"/>
    </row>
    <row r="365" spans="1:3" ht="14.25" customHeight="1" thickBot="1">
      <c r="A365" s="139"/>
      <c r="B365" s="139"/>
      <c r="C365" s="139"/>
    </row>
    <row r="366" spans="1:3" ht="14.25" customHeight="1" thickBot="1">
      <c r="A366" s="139"/>
      <c r="B366" s="139"/>
      <c r="C366" s="139"/>
    </row>
    <row r="367" spans="1:3" ht="14.25" customHeight="1" thickBot="1">
      <c r="A367" s="139"/>
      <c r="B367" s="139"/>
      <c r="C367" s="139"/>
    </row>
    <row r="368" spans="1:3" ht="14.25" customHeight="1" thickBot="1">
      <c r="A368" s="139"/>
      <c r="B368" s="139"/>
      <c r="C368" s="139"/>
    </row>
    <row r="369" spans="1:3" ht="14.25" customHeight="1" thickBot="1">
      <c r="A369" s="139"/>
      <c r="B369" s="139"/>
      <c r="C369" s="139"/>
    </row>
    <row r="370" spans="1:3" ht="14.25" customHeight="1" thickBot="1">
      <c r="A370" s="139"/>
      <c r="B370" s="139"/>
      <c r="C370" s="139"/>
    </row>
    <row r="371" spans="1:3" ht="14.25" customHeight="1" thickBot="1">
      <c r="A371" s="139"/>
      <c r="B371" s="139"/>
      <c r="C371" s="139"/>
    </row>
    <row r="372" spans="1:3" ht="14.25" customHeight="1" thickBot="1">
      <c r="A372" s="139"/>
      <c r="B372" s="139"/>
      <c r="C372" s="139"/>
    </row>
    <row r="373" spans="1:3" ht="14.25" customHeight="1" thickBot="1">
      <c r="A373" s="139"/>
      <c r="B373" s="139"/>
      <c r="C373" s="139"/>
    </row>
    <row r="374" spans="1:3" ht="14.25" customHeight="1" thickBot="1">
      <c r="A374" s="139"/>
      <c r="B374" s="139"/>
      <c r="C374" s="139"/>
    </row>
    <row r="375" spans="1:3" ht="14.25" customHeight="1" thickBot="1">
      <c r="A375" s="139"/>
      <c r="B375" s="139"/>
      <c r="C375" s="139"/>
    </row>
    <row r="376" spans="1:3" ht="14.25" customHeight="1" thickBot="1">
      <c r="A376" s="139"/>
      <c r="B376" s="139"/>
      <c r="C376" s="139"/>
    </row>
    <row r="377" spans="1:3" ht="14.25" customHeight="1" thickBot="1">
      <c r="A377" s="139"/>
      <c r="B377" s="139"/>
      <c r="C377" s="139"/>
    </row>
    <row r="378" spans="1:3" ht="14.25" customHeight="1" thickBot="1">
      <c r="A378" s="139"/>
      <c r="B378" s="139"/>
      <c r="C378" s="139"/>
    </row>
    <row r="379" spans="1:3" ht="14.25" customHeight="1" thickBot="1">
      <c r="A379" s="139"/>
      <c r="B379" s="139"/>
      <c r="C379" s="139"/>
    </row>
    <row r="380" spans="1:3" ht="14.25" customHeight="1" thickBot="1">
      <c r="A380" s="139"/>
      <c r="B380" s="139"/>
      <c r="C380" s="139"/>
    </row>
    <row r="381" spans="1:3" ht="14.25" customHeight="1" thickBot="1">
      <c r="A381" s="139"/>
      <c r="B381" s="139"/>
      <c r="C381" s="139"/>
    </row>
    <row r="382" spans="1:3" ht="14.25" customHeight="1" thickBot="1">
      <c r="A382" s="139"/>
      <c r="B382" s="139"/>
      <c r="C382" s="139"/>
    </row>
    <row r="383" spans="1:3" ht="14.25" customHeight="1" thickBot="1">
      <c r="A383" s="139"/>
      <c r="B383" s="139"/>
      <c r="C383" s="139"/>
    </row>
    <row r="384" spans="1:3" ht="14.25" customHeight="1" thickBot="1">
      <c r="A384" s="139"/>
      <c r="B384" s="139"/>
      <c r="C384" s="139"/>
    </row>
    <row r="385" spans="1:3" ht="14.25" customHeight="1" thickBot="1">
      <c r="A385" s="139"/>
      <c r="B385" s="139"/>
      <c r="C385" s="139"/>
    </row>
    <row r="386" spans="1:3" ht="14.25" customHeight="1" thickBot="1">
      <c r="A386" s="139"/>
      <c r="B386" s="139"/>
      <c r="C386" s="139"/>
    </row>
    <row r="387" spans="1:3" ht="14.25" customHeight="1" thickBot="1">
      <c r="A387" s="139"/>
      <c r="B387" s="139"/>
      <c r="C387" s="139"/>
    </row>
    <row r="388" spans="1:3" ht="14.25" customHeight="1" thickBot="1">
      <c r="A388" s="139"/>
      <c r="B388" s="139"/>
      <c r="C388" s="139"/>
    </row>
    <row r="389" spans="1:3" ht="14.25" customHeight="1" thickBot="1">
      <c r="A389" s="139"/>
      <c r="B389" s="139"/>
      <c r="C389" s="139"/>
    </row>
    <row r="390" spans="1:3" ht="14.25" customHeight="1" thickBot="1">
      <c r="A390" s="139"/>
      <c r="B390" s="139"/>
      <c r="C390" s="139"/>
    </row>
    <row r="391" spans="1:3" ht="14.25" customHeight="1" thickBot="1">
      <c r="A391" s="139"/>
      <c r="B391" s="139"/>
      <c r="C391" s="139"/>
    </row>
    <row r="392" spans="1:3" ht="14.25" customHeight="1" thickBot="1">
      <c r="A392" s="139"/>
      <c r="B392" s="139"/>
      <c r="C392" s="139"/>
    </row>
    <row r="393" spans="1:3" ht="14.25" customHeight="1" thickBot="1">
      <c r="A393" s="139"/>
      <c r="B393" s="139"/>
      <c r="C393" s="139"/>
    </row>
    <row r="394" spans="1:3" ht="14.25" customHeight="1" thickBot="1">
      <c r="A394" s="139"/>
      <c r="B394" s="139"/>
      <c r="C394" s="139"/>
    </row>
    <row r="395" spans="1:3" ht="14.25" customHeight="1" thickBot="1">
      <c r="A395" s="139"/>
      <c r="B395" s="139"/>
      <c r="C395" s="139"/>
    </row>
    <row r="396" spans="1:3" ht="14.25" customHeight="1" thickBot="1">
      <c r="A396" s="139"/>
      <c r="B396" s="139"/>
      <c r="C396" s="139"/>
    </row>
    <row r="397" spans="1:3" ht="14.25" customHeight="1" thickBot="1">
      <c r="A397" s="139"/>
      <c r="B397" s="139"/>
      <c r="C397" s="139"/>
    </row>
    <row r="398" spans="1:3" ht="14.25" customHeight="1" thickBot="1">
      <c r="A398" s="139"/>
      <c r="B398" s="139"/>
      <c r="C398" s="139"/>
    </row>
    <row r="399" spans="1:3" ht="14.25" customHeight="1" thickBot="1">
      <c r="A399" s="139"/>
      <c r="B399" s="139"/>
      <c r="C399" s="139"/>
    </row>
    <row r="400" spans="1:3" ht="14.25" customHeight="1" thickBot="1">
      <c r="A400" s="139"/>
      <c r="B400" s="139"/>
      <c r="C400" s="139"/>
    </row>
    <row r="401" spans="1:3" ht="14.25" customHeight="1" thickBot="1">
      <c r="A401" s="139"/>
      <c r="B401" s="139"/>
      <c r="C401" s="139"/>
    </row>
    <row r="402" spans="1:3" ht="14.25" customHeight="1" thickBot="1">
      <c r="A402" s="139"/>
      <c r="B402" s="139"/>
      <c r="C402" s="139"/>
    </row>
    <row r="403" spans="1:3" ht="14.25" customHeight="1" thickBot="1">
      <c r="A403" s="139"/>
      <c r="B403" s="139"/>
      <c r="C403" s="139"/>
    </row>
    <row r="404" spans="1:3" ht="14.25" customHeight="1" thickBot="1">
      <c r="A404" s="139"/>
      <c r="B404" s="139"/>
      <c r="C404" s="139"/>
    </row>
    <row r="405" spans="1:3" ht="14.25" customHeight="1" thickBot="1">
      <c r="A405" s="139"/>
      <c r="B405" s="139"/>
      <c r="C405" s="139"/>
    </row>
    <row r="406" spans="1:3" ht="14.25" customHeight="1" thickBot="1">
      <c r="A406" s="139"/>
      <c r="B406" s="139"/>
      <c r="C406" s="139"/>
    </row>
    <row r="407" spans="1:3" ht="14.25" customHeight="1" thickBot="1">
      <c r="A407" s="139"/>
      <c r="B407" s="139"/>
      <c r="C407" s="139"/>
    </row>
    <row r="408" spans="1:3" ht="14.25" customHeight="1" thickBot="1">
      <c r="A408" s="139"/>
      <c r="B408" s="139"/>
      <c r="C408" s="139"/>
    </row>
    <row r="409" spans="1:3" ht="14.25" customHeight="1" thickBot="1">
      <c r="A409" s="139"/>
      <c r="B409" s="139"/>
      <c r="C409" s="139"/>
    </row>
    <row r="410" spans="1:3" ht="14.25" customHeight="1" thickBot="1">
      <c r="A410" s="139"/>
      <c r="B410" s="139"/>
      <c r="C410" s="139"/>
    </row>
    <row r="411" spans="1:3" ht="14.25" customHeight="1" thickBot="1">
      <c r="A411" s="139"/>
      <c r="B411" s="139"/>
      <c r="C411" s="139"/>
    </row>
    <row r="412" spans="1:3" ht="14.25" customHeight="1" thickBot="1">
      <c r="A412" s="139"/>
      <c r="B412" s="139"/>
      <c r="C412" s="139"/>
    </row>
    <row r="413" spans="1:3" ht="14.25" customHeight="1" thickBot="1">
      <c r="A413" s="139"/>
      <c r="B413" s="139"/>
      <c r="C413" s="139"/>
    </row>
    <row r="414" spans="1:3" ht="14.25" customHeight="1" thickBot="1">
      <c r="A414" s="139"/>
      <c r="B414" s="139"/>
      <c r="C414" s="139"/>
    </row>
    <row r="415" spans="1:3" ht="14.25" customHeight="1" thickBot="1">
      <c r="A415" s="139"/>
      <c r="B415" s="139"/>
      <c r="C415" s="139"/>
    </row>
    <row r="416" spans="1:3" ht="14.25" customHeight="1" thickBot="1">
      <c r="A416" s="139"/>
      <c r="B416" s="139"/>
      <c r="C416" s="139"/>
    </row>
    <row r="417" spans="1:3" ht="14.25" customHeight="1" thickBot="1">
      <c r="A417" s="139"/>
      <c r="B417" s="139"/>
      <c r="C417" s="139"/>
    </row>
    <row r="418" spans="1:3" ht="14.25" customHeight="1" thickBot="1">
      <c r="A418" s="139"/>
      <c r="B418" s="139"/>
      <c r="C418" s="139"/>
    </row>
    <row r="419" spans="1:3" ht="14.25" customHeight="1" thickBot="1">
      <c r="A419" s="139"/>
      <c r="B419" s="139"/>
      <c r="C419" s="139"/>
    </row>
    <row r="420" spans="1:3" ht="14.25" customHeight="1" thickBot="1">
      <c r="A420" s="139"/>
      <c r="B420" s="139"/>
      <c r="C420" s="139"/>
    </row>
    <row r="421" spans="1:3" ht="14.25" customHeight="1" thickBot="1">
      <c r="A421" s="139"/>
      <c r="B421" s="139"/>
      <c r="C421" s="139"/>
    </row>
    <row r="422" spans="1:3" ht="14.25" customHeight="1" thickBot="1">
      <c r="A422" s="139"/>
      <c r="B422" s="139"/>
      <c r="C422" s="139"/>
    </row>
    <row r="423" spans="1:3" ht="14.25" customHeight="1" thickBot="1">
      <c r="A423" s="139"/>
      <c r="B423" s="139"/>
      <c r="C423" s="139"/>
    </row>
    <row r="424" spans="1:3" ht="14.25" customHeight="1" thickBot="1">
      <c r="A424" s="139"/>
      <c r="B424" s="139"/>
      <c r="C424" s="139"/>
    </row>
    <row r="425" spans="1:3" ht="14.25" customHeight="1" thickBot="1">
      <c r="A425" s="139"/>
      <c r="B425" s="139"/>
      <c r="C425" s="139"/>
    </row>
    <row r="426" spans="1:3" ht="14.25" customHeight="1" thickBot="1">
      <c r="A426" s="139"/>
      <c r="B426" s="139"/>
      <c r="C426" s="139"/>
    </row>
    <row r="427" spans="1:3" ht="14.25" customHeight="1" thickBot="1">
      <c r="A427" s="139"/>
      <c r="B427" s="139"/>
      <c r="C427" s="139"/>
    </row>
    <row r="428" spans="1:3" ht="14.25" customHeight="1" thickBot="1">
      <c r="A428" s="139"/>
      <c r="B428" s="139"/>
      <c r="C428" s="139"/>
    </row>
    <row r="429" spans="1:3" ht="14.25" customHeight="1" thickBot="1">
      <c r="A429" s="139"/>
      <c r="B429" s="139"/>
      <c r="C429" s="139"/>
    </row>
    <row r="430" spans="1:3" ht="14.25" customHeight="1" thickBot="1">
      <c r="A430" s="139"/>
      <c r="B430" s="139"/>
      <c r="C430" s="139"/>
    </row>
    <row r="431" spans="1:3" ht="14.25" customHeight="1" thickBot="1">
      <c r="A431" s="139"/>
      <c r="B431" s="139"/>
      <c r="C431" s="139"/>
    </row>
    <row r="432" spans="1:3" ht="14.25" customHeight="1" thickBot="1">
      <c r="A432" s="139"/>
      <c r="B432" s="139"/>
      <c r="C432" s="139"/>
    </row>
    <row r="433" spans="1:3" ht="14.25" customHeight="1" thickBot="1">
      <c r="A433" s="139"/>
      <c r="B433" s="139"/>
      <c r="C433" s="139"/>
    </row>
    <row r="434" spans="1:3" ht="14.25" customHeight="1" thickBot="1">
      <c r="A434" s="139"/>
      <c r="B434" s="139"/>
      <c r="C434" s="139"/>
    </row>
    <row r="435" spans="1:3" ht="14.25" customHeight="1" thickBot="1">
      <c r="A435" s="139"/>
      <c r="B435" s="139"/>
      <c r="C435" s="139"/>
    </row>
    <row r="436" spans="1:3" ht="14.25" customHeight="1" thickBot="1">
      <c r="A436" s="139"/>
      <c r="B436" s="139"/>
      <c r="C436" s="139"/>
    </row>
    <row r="437" spans="1:3" ht="14.25" customHeight="1" thickBot="1">
      <c r="A437" s="139"/>
      <c r="B437" s="139"/>
      <c r="C437" s="139"/>
    </row>
    <row r="438" spans="1:3" ht="14.25" customHeight="1" thickBot="1">
      <c r="A438" s="139"/>
      <c r="B438" s="139"/>
      <c r="C438" s="139"/>
    </row>
    <row r="439" spans="1:3" ht="14.25" customHeight="1" thickBot="1">
      <c r="A439" s="139"/>
      <c r="B439" s="139"/>
      <c r="C439" s="139"/>
    </row>
    <row r="440" spans="1:3" ht="14.25" customHeight="1" thickBot="1">
      <c r="A440" s="139"/>
      <c r="B440" s="139"/>
      <c r="C440" s="139"/>
    </row>
    <row r="441" spans="1:3" ht="14.25" customHeight="1" thickBot="1">
      <c r="A441" s="139"/>
      <c r="B441" s="139"/>
      <c r="C441" s="139"/>
    </row>
    <row r="442" spans="1:3" ht="14.25" customHeight="1" thickBot="1">
      <c r="A442" s="139"/>
      <c r="B442" s="139"/>
      <c r="C442" s="139"/>
    </row>
    <row r="443" spans="1:3" ht="14.25" customHeight="1" thickBot="1">
      <c r="A443" s="139"/>
      <c r="B443" s="139"/>
      <c r="C443" s="139"/>
    </row>
    <row r="444" spans="1:3" ht="14.25" customHeight="1" thickBot="1">
      <c r="A444" s="139"/>
      <c r="B444" s="139"/>
      <c r="C444" s="139"/>
    </row>
    <row r="445" spans="1:3" ht="14.25" customHeight="1" thickBot="1">
      <c r="A445" s="139"/>
      <c r="B445" s="139"/>
      <c r="C445" s="139"/>
    </row>
    <row r="446" spans="1:3" ht="14.25" customHeight="1" thickBot="1">
      <c r="A446" s="139"/>
      <c r="B446" s="139"/>
      <c r="C446" s="139"/>
    </row>
    <row r="447" spans="1:3" ht="14.25" customHeight="1" thickBot="1">
      <c r="A447" s="139"/>
      <c r="B447" s="139"/>
      <c r="C447" s="139"/>
    </row>
    <row r="448" spans="1:3" ht="14.25" customHeight="1" thickBot="1">
      <c r="A448" s="139"/>
      <c r="B448" s="139"/>
      <c r="C448" s="139"/>
    </row>
    <row r="449" spans="1:3" ht="14.25" customHeight="1" thickBot="1">
      <c r="A449" s="139"/>
      <c r="B449" s="139"/>
      <c r="C449" s="139"/>
    </row>
    <row r="450" spans="1:3" ht="14.25" customHeight="1" thickBot="1">
      <c r="A450" s="139"/>
      <c r="B450" s="139"/>
      <c r="C450" s="139"/>
    </row>
    <row r="451" spans="1:3" ht="14.25" customHeight="1" thickBot="1">
      <c r="A451" s="139"/>
      <c r="B451" s="139"/>
      <c r="C451" s="139"/>
    </row>
    <row r="452" spans="1:3" ht="14.25" customHeight="1" thickBot="1">
      <c r="A452" s="139"/>
      <c r="B452" s="139"/>
      <c r="C452" s="139"/>
    </row>
    <row r="453" spans="1:3" ht="14.25" customHeight="1" thickBot="1">
      <c r="A453" s="139"/>
      <c r="B453" s="139"/>
      <c r="C453" s="139"/>
    </row>
    <row r="454" spans="1:3" ht="14.25" customHeight="1" thickBot="1">
      <c r="A454" s="139"/>
      <c r="B454" s="139"/>
      <c r="C454" s="139"/>
    </row>
    <row r="455" spans="1:3" ht="14.25" customHeight="1" thickBot="1">
      <c r="A455" s="139"/>
      <c r="B455" s="139"/>
      <c r="C455" s="139"/>
    </row>
    <row r="456" spans="1:3" ht="14.25" customHeight="1" thickBot="1">
      <c r="A456" s="139"/>
      <c r="B456" s="139"/>
      <c r="C456" s="139"/>
    </row>
    <row r="457" spans="1:3" ht="14.25" customHeight="1" thickBot="1">
      <c r="A457" s="139"/>
      <c r="B457" s="139"/>
      <c r="C457" s="139"/>
    </row>
    <row r="458" spans="1:3" ht="14.25" customHeight="1" thickBot="1">
      <c r="A458" s="139"/>
      <c r="B458" s="139"/>
      <c r="C458" s="139"/>
    </row>
    <row r="459" spans="1:3" ht="14.25" customHeight="1" thickBot="1">
      <c r="A459" s="139"/>
      <c r="B459" s="139"/>
      <c r="C459" s="139"/>
    </row>
    <row r="460" spans="1:3" ht="14.25" customHeight="1" thickBot="1">
      <c r="A460" s="139"/>
      <c r="B460" s="139"/>
      <c r="C460" s="139"/>
    </row>
    <row r="461" spans="1:3" ht="14.25" customHeight="1" thickBot="1">
      <c r="A461" s="139"/>
      <c r="B461" s="139"/>
      <c r="C461" s="139"/>
    </row>
    <row r="462" spans="1:3" ht="14.25" customHeight="1" thickBot="1">
      <c r="A462" s="139"/>
      <c r="B462" s="139"/>
      <c r="C462" s="139"/>
    </row>
    <row r="463" spans="1:3" ht="14.25" customHeight="1" thickBot="1">
      <c r="A463" s="139"/>
      <c r="B463" s="139"/>
      <c r="C463" s="139"/>
    </row>
    <row r="464" spans="1:3" ht="14.25" customHeight="1" thickBot="1">
      <c r="A464" s="139"/>
      <c r="B464" s="139"/>
      <c r="C464" s="139"/>
    </row>
    <row r="465" spans="1:3" ht="14.25" customHeight="1" thickBot="1">
      <c r="A465" s="139"/>
      <c r="B465" s="139"/>
      <c r="C465" s="139"/>
    </row>
    <row r="466" spans="1:3" ht="14.25" customHeight="1" thickBot="1">
      <c r="A466" s="139"/>
      <c r="B466" s="139"/>
      <c r="C466" s="139"/>
    </row>
    <row r="467" spans="1:3" ht="14.25" customHeight="1" thickBot="1">
      <c r="A467" s="139"/>
      <c r="B467" s="139"/>
      <c r="C467" s="139"/>
    </row>
    <row r="468" spans="1:3" ht="14.25" customHeight="1" thickBot="1">
      <c r="A468" s="139"/>
      <c r="B468" s="139"/>
      <c r="C468" s="139"/>
    </row>
    <row r="469" spans="1:3" ht="14.25" customHeight="1" thickBot="1">
      <c r="A469" s="139"/>
      <c r="B469" s="139"/>
      <c r="C469" s="139"/>
    </row>
    <row r="470" spans="1:3" ht="14.25" customHeight="1" thickBot="1">
      <c r="A470" s="139"/>
      <c r="B470" s="139"/>
      <c r="C470" s="139"/>
    </row>
    <row r="471" spans="1:3" ht="14.25" customHeight="1" thickBot="1">
      <c r="A471" s="139"/>
      <c r="B471" s="139"/>
      <c r="C471" s="139"/>
    </row>
    <row r="472" spans="1:3" ht="14.25" customHeight="1" thickBot="1">
      <c r="A472" s="139"/>
      <c r="B472" s="139"/>
      <c r="C472" s="139"/>
    </row>
    <row r="473" spans="1:3" ht="14.25" customHeight="1" thickBot="1">
      <c r="A473" s="139"/>
      <c r="B473" s="139"/>
      <c r="C473" s="139"/>
    </row>
    <row r="474" spans="1:3" ht="14.25" customHeight="1" thickBot="1">
      <c r="A474" s="139"/>
      <c r="B474" s="139"/>
      <c r="C474" s="139"/>
    </row>
    <row r="475" spans="1:3" ht="14.25" customHeight="1" thickBot="1">
      <c r="A475" s="139"/>
      <c r="B475" s="139"/>
      <c r="C475" s="139"/>
    </row>
    <row r="476" spans="1:3" ht="14.25" customHeight="1" thickBot="1">
      <c r="A476" s="139"/>
      <c r="B476" s="139"/>
      <c r="C476" s="139"/>
    </row>
    <row r="477" spans="1:3" ht="14.25" customHeight="1" thickBot="1">
      <c r="A477" s="139"/>
      <c r="B477" s="139"/>
      <c r="C477" s="139"/>
    </row>
    <row r="478" spans="1:3" ht="14.25" customHeight="1" thickBot="1">
      <c r="A478" s="139"/>
      <c r="B478" s="139"/>
      <c r="C478" s="139"/>
    </row>
    <row r="479" spans="1:3" ht="14.25" customHeight="1" thickBot="1">
      <c r="A479" s="139"/>
      <c r="B479" s="139"/>
      <c r="C479" s="139"/>
    </row>
    <row r="480" spans="1:3" ht="14.25" customHeight="1" thickBot="1">
      <c r="A480" s="139"/>
      <c r="B480" s="139"/>
      <c r="C480" s="139"/>
    </row>
    <row r="481" spans="1:3" ht="14.25" customHeight="1" thickBot="1">
      <c r="A481" s="139"/>
      <c r="B481" s="139"/>
      <c r="C481" s="139"/>
    </row>
    <row r="482" spans="1:3" ht="14.25" customHeight="1" thickBot="1">
      <c r="A482" s="139"/>
      <c r="B482" s="139"/>
      <c r="C482" s="139"/>
    </row>
    <row r="483" spans="1:3" ht="14.25" customHeight="1" thickBot="1">
      <c r="A483" s="139"/>
      <c r="B483" s="139"/>
      <c r="C483" s="139"/>
    </row>
    <row r="484" spans="1:3" ht="14.25" customHeight="1" thickBot="1">
      <c r="A484" s="139"/>
      <c r="B484" s="139"/>
      <c r="C484" s="139"/>
    </row>
    <row r="485" spans="1:3" ht="14.25" customHeight="1" thickBot="1">
      <c r="A485" s="139"/>
      <c r="B485" s="139"/>
      <c r="C485" s="139"/>
    </row>
    <row r="486" spans="1:3" ht="14.25" customHeight="1" thickBot="1">
      <c r="A486" s="139"/>
      <c r="B486" s="139"/>
      <c r="C486" s="139"/>
    </row>
    <row r="487" spans="1:3" ht="14.25" customHeight="1" thickBot="1">
      <c r="A487" s="139"/>
      <c r="B487" s="139"/>
      <c r="C487" s="139"/>
    </row>
    <row r="488" spans="1:3" ht="14.25" customHeight="1" thickBot="1">
      <c r="A488" s="139"/>
      <c r="B488" s="139"/>
      <c r="C488" s="139"/>
    </row>
    <row r="489" spans="1:3" ht="14.25" customHeight="1" thickBot="1">
      <c r="A489" s="139"/>
      <c r="B489" s="139"/>
      <c r="C489" s="139"/>
    </row>
    <row r="490" spans="1:3" ht="14.25" customHeight="1" thickBot="1">
      <c r="A490" s="139"/>
      <c r="B490" s="139"/>
      <c r="C490" s="139"/>
    </row>
    <row r="491" spans="1:3" ht="14.25" customHeight="1" thickBot="1">
      <c r="A491" s="139"/>
      <c r="B491" s="139"/>
      <c r="C491" s="139"/>
    </row>
    <row r="492" spans="1:3" ht="14.25" customHeight="1" thickBot="1">
      <c r="A492" s="139"/>
      <c r="B492" s="139"/>
      <c r="C492" s="139"/>
    </row>
    <row r="493" spans="1:3" ht="14.25" customHeight="1" thickBot="1">
      <c r="A493" s="139"/>
      <c r="B493" s="139"/>
      <c r="C493" s="139"/>
    </row>
    <row r="494" spans="1:3" ht="14.25" customHeight="1" thickBot="1">
      <c r="A494" s="139"/>
      <c r="B494" s="139"/>
      <c r="C494" s="139"/>
    </row>
    <row r="495" spans="1:3" ht="14.25" customHeight="1" thickBot="1">
      <c r="A495" s="139"/>
      <c r="B495" s="139"/>
      <c r="C495" s="139"/>
    </row>
    <row r="496" spans="1:3" ht="14.25" customHeight="1" thickBot="1">
      <c r="A496" s="139"/>
      <c r="B496" s="139"/>
      <c r="C496" s="139"/>
    </row>
    <row r="497" spans="1:3" ht="14.25" customHeight="1" thickBot="1">
      <c r="A497" s="139"/>
      <c r="B497" s="139"/>
      <c r="C497" s="139"/>
    </row>
    <row r="498" spans="1:3" ht="14.25" customHeight="1" thickBot="1">
      <c r="A498" s="139"/>
      <c r="B498" s="139"/>
      <c r="C498" s="139"/>
    </row>
    <row r="499" spans="1:3" ht="14.25" customHeight="1" thickBot="1">
      <c r="A499" s="139"/>
      <c r="B499" s="139"/>
      <c r="C499" s="139"/>
    </row>
    <row r="500" spans="1:3" ht="14.25" customHeight="1" thickBot="1">
      <c r="A500" s="139"/>
      <c r="B500" s="139"/>
      <c r="C500" s="139"/>
    </row>
    <row r="501" spans="1:3" ht="14.25" customHeight="1" thickBot="1">
      <c r="A501" s="139"/>
      <c r="B501" s="139"/>
      <c r="C501" s="139"/>
    </row>
    <row r="502" spans="1:3" ht="14.25" customHeight="1" thickBot="1">
      <c r="A502" s="139"/>
      <c r="B502" s="139"/>
      <c r="C502" s="139"/>
    </row>
    <row r="503" spans="1:3" ht="14.25" customHeight="1" thickBot="1">
      <c r="A503" s="139"/>
      <c r="B503" s="139"/>
      <c r="C503" s="139"/>
    </row>
    <row r="504" spans="1:3" ht="14.25" customHeight="1" thickBot="1">
      <c r="A504" s="139"/>
      <c r="B504" s="139"/>
      <c r="C504" s="139"/>
    </row>
    <row r="505" spans="1:3" ht="14.25" customHeight="1" thickBot="1">
      <c r="A505" s="139"/>
      <c r="B505" s="139"/>
      <c r="C505" s="139"/>
    </row>
    <row r="506" spans="1:3" ht="14.25" customHeight="1" thickBot="1">
      <c r="A506" s="139"/>
      <c r="B506" s="139"/>
      <c r="C506" s="139"/>
    </row>
    <row r="507" spans="1:3" ht="14.25" customHeight="1" thickBot="1">
      <c r="A507" s="139"/>
      <c r="B507" s="139"/>
      <c r="C507" s="139"/>
    </row>
    <row r="508" spans="1:3" ht="14.25" customHeight="1" thickBot="1">
      <c r="A508" s="139"/>
      <c r="B508" s="139"/>
      <c r="C508" s="139"/>
    </row>
    <row r="509" spans="1:3" ht="14.25" customHeight="1" thickBot="1">
      <c r="A509" s="139"/>
      <c r="B509" s="139"/>
      <c r="C509" s="139"/>
    </row>
    <row r="510" spans="1:3" ht="14.25" customHeight="1" thickBot="1">
      <c r="A510" s="139"/>
      <c r="B510" s="139"/>
      <c r="C510" s="139"/>
    </row>
    <row r="511" spans="1:3" ht="14.25" customHeight="1" thickBot="1">
      <c r="A511" s="139"/>
      <c r="B511" s="139"/>
      <c r="C511" s="139"/>
    </row>
    <row r="512" spans="1:3" ht="14.25" customHeight="1" thickBot="1">
      <c r="A512" s="139"/>
      <c r="B512" s="139"/>
      <c r="C512" s="139"/>
    </row>
    <row r="513" spans="1:3" ht="14.25" customHeight="1" thickBot="1">
      <c r="A513" s="139"/>
      <c r="B513" s="139"/>
      <c r="C513" s="139"/>
    </row>
    <row r="514" spans="1:3" ht="14.25" customHeight="1" thickBot="1">
      <c r="A514" s="139"/>
      <c r="B514" s="139"/>
      <c r="C514" s="139"/>
    </row>
    <row r="515" spans="1:3" ht="14.25" customHeight="1" thickBot="1">
      <c r="A515" s="139"/>
      <c r="B515" s="139"/>
      <c r="C515" s="139"/>
    </row>
    <row r="516" spans="1:3" ht="14.25" customHeight="1" thickBot="1">
      <c r="A516" s="139"/>
      <c r="B516" s="139"/>
      <c r="C516" s="139"/>
    </row>
    <row r="517" spans="1:3" ht="14.25" customHeight="1" thickBot="1">
      <c r="A517" s="139"/>
      <c r="B517" s="139"/>
      <c r="C517" s="139"/>
    </row>
    <row r="518" spans="1:3" ht="14.25" customHeight="1" thickBot="1">
      <c r="A518" s="139"/>
      <c r="B518" s="139"/>
      <c r="C518" s="139"/>
    </row>
    <row r="519" spans="1:3" ht="14.25" customHeight="1" thickBot="1">
      <c r="A519" s="139"/>
      <c r="B519" s="139"/>
      <c r="C519" s="139"/>
    </row>
    <row r="520" spans="1:3" ht="14.25" customHeight="1" thickBot="1">
      <c r="A520" s="139"/>
      <c r="B520" s="139"/>
      <c r="C520" s="139"/>
    </row>
    <row r="521" spans="1:3" ht="14.25" customHeight="1" thickBot="1">
      <c r="A521" s="139"/>
      <c r="B521" s="139"/>
      <c r="C521" s="139"/>
    </row>
    <row r="522" spans="1:3" ht="14.25" customHeight="1" thickBot="1">
      <c r="A522" s="139"/>
      <c r="B522" s="139"/>
      <c r="C522" s="139"/>
    </row>
    <row r="523" spans="1:3" ht="14.25" customHeight="1" thickBot="1">
      <c r="A523" s="139"/>
      <c r="B523" s="139"/>
      <c r="C523" s="139"/>
    </row>
    <row r="524" spans="1:3" ht="14.25" customHeight="1" thickBot="1">
      <c r="A524" s="139"/>
      <c r="B524" s="139"/>
      <c r="C524" s="139"/>
    </row>
    <row r="525" spans="1:3" ht="14.25" customHeight="1" thickBot="1">
      <c r="A525" s="139"/>
      <c r="B525" s="139"/>
      <c r="C525" s="139"/>
    </row>
    <row r="526" spans="1:3" ht="14.25" customHeight="1" thickBot="1">
      <c r="A526" s="139"/>
      <c r="B526" s="139"/>
      <c r="C526" s="139"/>
    </row>
    <row r="527" spans="1:3" ht="14.25" customHeight="1" thickBot="1">
      <c r="A527" s="139"/>
      <c r="B527" s="139"/>
      <c r="C527" s="139"/>
    </row>
    <row r="528" spans="1:3" ht="14.25" customHeight="1" thickBot="1">
      <c r="A528" s="139"/>
      <c r="B528" s="139"/>
      <c r="C528" s="139"/>
    </row>
    <row r="529" spans="1:3" ht="14.25" customHeight="1" thickBot="1">
      <c r="A529" s="139"/>
      <c r="B529" s="139"/>
      <c r="C529" s="139"/>
    </row>
    <row r="530" spans="1:3" ht="14.25" customHeight="1" thickBot="1">
      <c r="A530" s="139"/>
      <c r="B530" s="139"/>
      <c r="C530" s="139"/>
    </row>
    <row r="531" spans="1:3" ht="14.25" customHeight="1" thickBot="1">
      <c r="A531" s="139"/>
      <c r="B531" s="139"/>
      <c r="C531" s="139"/>
    </row>
    <row r="532" spans="1:3" ht="14.25" customHeight="1" thickBot="1">
      <c r="A532" s="139"/>
      <c r="B532" s="139"/>
      <c r="C532" s="139"/>
    </row>
    <row r="533" spans="1:3" ht="14.25" customHeight="1" thickBot="1">
      <c r="A533" s="139"/>
      <c r="B533" s="139"/>
      <c r="C533" s="139"/>
    </row>
    <row r="534" spans="1:3" ht="14.25" customHeight="1" thickBot="1">
      <c r="A534" s="139"/>
      <c r="B534" s="139"/>
      <c r="C534" s="139"/>
    </row>
    <row r="535" spans="1:3" ht="14.25" customHeight="1" thickBot="1">
      <c r="A535" s="139"/>
      <c r="B535" s="139"/>
      <c r="C535" s="139"/>
    </row>
    <row r="536" spans="1:3" ht="14.25" customHeight="1" thickBot="1">
      <c r="A536" s="139"/>
      <c r="B536" s="139"/>
      <c r="C536" s="139"/>
    </row>
    <row r="537" spans="1:3" ht="14.25" customHeight="1" thickBot="1">
      <c r="A537" s="139"/>
      <c r="B537" s="139"/>
      <c r="C537" s="139"/>
    </row>
    <row r="538" spans="1:3" ht="14.25" customHeight="1" thickBot="1">
      <c r="A538" s="139"/>
      <c r="B538" s="139"/>
      <c r="C538" s="139"/>
    </row>
    <row r="539" spans="1:3" ht="14.25" customHeight="1" thickBot="1">
      <c r="A539" s="139"/>
      <c r="B539" s="139"/>
      <c r="C539" s="139"/>
    </row>
    <row r="540" spans="1:3" ht="14.25" customHeight="1" thickBot="1">
      <c r="A540" s="139"/>
      <c r="B540" s="139"/>
      <c r="C540" s="139"/>
    </row>
    <row r="541" spans="1:3" ht="14.25" customHeight="1" thickBot="1">
      <c r="A541" s="139"/>
      <c r="B541" s="139"/>
      <c r="C541" s="139"/>
    </row>
    <row r="542" spans="1:3" ht="14.25" customHeight="1" thickBot="1">
      <c r="A542" s="139"/>
      <c r="B542" s="139"/>
      <c r="C542" s="139"/>
    </row>
    <row r="543" spans="1:3" ht="14.25" customHeight="1" thickBot="1">
      <c r="A543" s="139"/>
      <c r="B543" s="139"/>
      <c r="C543" s="139"/>
    </row>
    <row r="544" spans="1:3" ht="14.25" customHeight="1" thickBot="1">
      <c r="A544" s="139"/>
      <c r="B544" s="139"/>
      <c r="C544" s="139"/>
    </row>
    <row r="545" spans="1:3" ht="14.25" customHeight="1" thickBot="1">
      <c r="A545" s="139"/>
      <c r="B545" s="139"/>
      <c r="C545" s="139"/>
    </row>
    <row r="546" spans="1:3" ht="14.25" customHeight="1" thickBot="1">
      <c r="A546" s="139"/>
      <c r="B546" s="139"/>
      <c r="C546" s="139"/>
    </row>
    <row r="547" spans="1:3" ht="14.25" customHeight="1" thickBot="1">
      <c r="A547" s="139"/>
      <c r="B547" s="139"/>
      <c r="C547" s="139"/>
    </row>
    <row r="548" spans="1:3" ht="14.25" customHeight="1" thickBot="1">
      <c r="A548" s="139"/>
      <c r="B548" s="139"/>
      <c r="C548" s="139"/>
    </row>
    <row r="549" spans="1:3" ht="14.25" customHeight="1" thickBot="1">
      <c r="A549" s="139"/>
      <c r="B549" s="139"/>
      <c r="C549" s="139"/>
    </row>
    <row r="550" spans="1:3" ht="14.25" customHeight="1" thickBot="1">
      <c r="A550" s="139"/>
      <c r="B550" s="139"/>
      <c r="C550" s="139"/>
    </row>
    <row r="551" spans="1:3" ht="14.25" customHeight="1" thickBot="1">
      <c r="A551" s="139"/>
      <c r="B551" s="139"/>
      <c r="C551" s="139"/>
    </row>
    <row r="552" spans="1:3" ht="14.25" customHeight="1" thickBot="1">
      <c r="A552" s="139"/>
      <c r="B552" s="139"/>
      <c r="C552" s="139"/>
    </row>
    <row r="553" spans="1:3" ht="14.25" customHeight="1" thickBot="1">
      <c r="A553" s="139"/>
      <c r="B553" s="139"/>
      <c r="C553" s="139"/>
    </row>
    <row r="554" spans="1:3" ht="14.25" customHeight="1" thickBot="1">
      <c r="A554" s="139"/>
      <c r="B554" s="139"/>
      <c r="C554" s="139"/>
    </row>
    <row r="555" spans="1:3" ht="14.25" customHeight="1" thickBot="1">
      <c r="A555" s="139"/>
      <c r="B555" s="139"/>
      <c r="C555" s="139"/>
    </row>
    <row r="556" spans="1:3" ht="14.25" customHeight="1" thickBot="1">
      <c r="A556" s="139"/>
      <c r="B556" s="139"/>
      <c r="C556" s="139"/>
    </row>
    <row r="557" spans="1:3" ht="14.25" customHeight="1" thickBot="1">
      <c r="A557" s="139"/>
      <c r="B557" s="139"/>
      <c r="C557" s="139"/>
    </row>
    <row r="558" spans="1:3" ht="14.25" customHeight="1" thickBot="1">
      <c r="A558" s="139"/>
      <c r="B558" s="139"/>
      <c r="C558" s="139"/>
    </row>
    <row r="559" spans="1:3" ht="14.25" customHeight="1" thickBot="1">
      <c r="A559" s="139"/>
      <c r="B559" s="139"/>
      <c r="C559" s="139"/>
    </row>
    <row r="560" spans="1:3" ht="14.25" customHeight="1" thickBot="1">
      <c r="A560" s="139"/>
      <c r="B560" s="139"/>
      <c r="C560" s="139"/>
    </row>
    <row r="561" spans="1:3" ht="14.25" customHeight="1" thickBot="1">
      <c r="A561" s="139"/>
      <c r="B561" s="139"/>
      <c r="C561" s="139"/>
    </row>
    <row r="562" spans="1:3" ht="14.25" customHeight="1" thickBot="1">
      <c r="A562" s="139"/>
      <c r="B562" s="139"/>
      <c r="C562" s="139"/>
    </row>
    <row r="563" spans="1:3" ht="14.25" customHeight="1" thickBot="1">
      <c r="A563" s="139"/>
      <c r="B563" s="139"/>
      <c r="C563" s="139"/>
    </row>
    <row r="564" spans="1:3" ht="14.25" customHeight="1" thickBot="1">
      <c r="A564" s="139"/>
      <c r="B564" s="139"/>
      <c r="C564" s="139"/>
    </row>
    <row r="565" spans="1:3" ht="14.25" customHeight="1" thickBot="1">
      <c r="A565" s="139"/>
      <c r="B565" s="139"/>
      <c r="C565" s="139"/>
    </row>
    <row r="566" spans="1:3" ht="14.25" customHeight="1" thickBot="1">
      <c r="A566" s="139"/>
      <c r="B566" s="139"/>
      <c r="C566" s="139"/>
    </row>
    <row r="567" spans="1:3" ht="14.25" customHeight="1" thickBot="1">
      <c r="A567" s="139"/>
      <c r="B567" s="139"/>
      <c r="C567" s="139"/>
    </row>
    <row r="568" spans="1:3" ht="14.25" customHeight="1" thickBot="1">
      <c r="A568" s="139"/>
      <c r="B568" s="139"/>
      <c r="C568" s="139"/>
    </row>
    <row r="569" spans="1:3" ht="14.25" customHeight="1" thickBot="1">
      <c r="A569" s="139"/>
      <c r="B569" s="139"/>
      <c r="C569" s="139"/>
    </row>
    <row r="570" spans="1:3" ht="14.25" customHeight="1" thickBot="1">
      <c r="A570" s="139"/>
      <c r="B570" s="139"/>
      <c r="C570" s="139"/>
    </row>
    <row r="571" spans="1:3" ht="14.25" customHeight="1" thickBot="1">
      <c r="A571" s="139"/>
      <c r="B571" s="139"/>
      <c r="C571" s="139"/>
    </row>
    <row r="572" spans="1:3" ht="14.25" customHeight="1" thickBot="1">
      <c r="A572" s="139"/>
      <c r="B572" s="139"/>
      <c r="C572" s="139"/>
    </row>
    <row r="573" spans="1:3" ht="14.25" customHeight="1" thickBot="1">
      <c r="A573" s="139"/>
      <c r="B573" s="139"/>
      <c r="C573" s="139"/>
    </row>
    <row r="574" spans="1:3" ht="14.25" customHeight="1" thickBot="1">
      <c r="A574" s="139"/>
      <c r="B574" s="139"/>
      <c r="C574" s="139"/>
    </row>
    <row r="575" spans="1:3" ht="14.25" customHeight="1" thickBot="1">
      <c r="A575" s="139"/>
      <c r="B575" s="139"/>
      <c r="C575" s="139"/>
    </row>
    <row r="576" spans="1:3" ht="14.25" customHeight="1" thickBot="1">
      <c r="A576" s="139"/>
      <c r="B576" s="139"/>
      <c r="C576" s="139"/>
    </row>
    <row r="577" spans="1:3" ht="14.25" customHeight="1" thickBot="1">
      <c r="A577" s="139"/>
      <c r="B577" s="139"/>
      <c r="C577" s="139"/>
    </row>
    <row r="578" spans="1:3" ht="14.25" customHeight="1" thickBot="1">
      <c r="A578" s="139"/>
      <c r="B578" s="139"/>
      <c r="C578" s="139"/>
    </row>
    <row r="579" spans="1:3" ht="14.25" customHeight="1" thickBot="1">
      <c r="A579" s="139"/>
      <c r="B579" s="139"/>
      <c r="C579" s="139"/>
    </row>
    <row r="580" spans="1:3" ht="14.25" customHeight="1" thickBot="1">
      <c r="A580" s="139"/>
      <c r="B580" s="139"/>
      <c r="C580" s="139"/>
    </row>
    <row r="581" spans="1:3" ht="14.25" customHeight="1" thickBot="1">
      <c r="A581" s="139"/>
      <c r="B581" s="139"/>
      <c r="C581" s="139"/>
    </row>
    <row r="582" spans="1:3" ht="14.25" customHeight="1" thickBot="1">
      <c r="A582" s="139"/>
      <c r="B582" s="139"/>
      <c r="C582" s="139"/>
    </row>
    <row r="583" spans="1:3" ht="14.25" customHeight="1" thickBot="1">
      <c r="A583" s="139"/>
      <c r="B583" s="139"/>
      <c r="C583" s="139"/>
    </row>
    <row r="584" spans="1:3" ht="14.25" customHeight="1" thickBot="1">
      <c r="A584" s="139"/>
      <c r="B584" s="139"/>
      <c r="C584" s="139"/>
    </row>
    <row r="585" spans="1:3" ht="14.25" customHeight="1" thickBot="1">
      <c r="A585" s="139"/>
      <c r="B585" s="139"/>
      <c r="C585" s="139"/>
    </row>
    <row r="586" spans="1:3" ht="14.25" customHeight="1" thickBot="1">
      <c r="A586" s="139"/>
      <c r="B586" s="139"/>
      <c r="C586" s="139"/>
    </row>
    <row r="587" spans="1:3" ht="14.25" customHeight="1" thickBot="1">
      <c r="A587" s="139"/>
      <c r="B587" s="139"/>
      <c r="C587" s="139"/>
    </row>
    <row r="588" spans="1:3" ht="14.25" customHeight="1" thickBot="1">
      <c r="A588" s="139"/>
      <c r="B588" s="139"/>
      <c r="C588" s="139"/>
    </row>
    <row r="589" spans="1:3" ht="14.25" customHeight="1" thickBot="1">
      <c r="A589" s="139"/>
      <c r="B589" s="139"/>
      <c r="C589" s="139"/>
    </row>
    <row r="590" spans="1:3" ht="14.25" customHeight="1" thickBot="1">
      <c r="A590" s="139"/>
      <c r="B590" s="139"/>
      <c r="C590" s="139"/>
    </row>
    <row r="591" spans="1:3" ht="14.25" customHeight="1" thickBot="1">
      <c r="A591" s="139"/>
      <c r="B591" s="139"/>
      <c r="C591" s="139"/>
    </row>
    <row r="592" spans="1:3" ht="14.25" customHeight="1" thickBot="1">
      <c r="A592" s="139"/>
      <c r="B592" s="139"/>
      <c r="C592" s="139"/>
    </row>
    <row r="593" spans="1:3" ht="14.25" customHeight="1" thickBot="1">
      <c r="A593" s="139"/>
      <c r="B593" s="139"/>
      <c r="C593" s="139"/>
    </row>
    <row r="594" spans="1:3" ht="14.25" customHeight="1" thickBot="1">
      <c r="A594" s="139"/>
      <c r="B594" s="139"/>
      <c r="C594" s="139"/>
    </row>
    <row r="595" spans="1:3" ht="14.25" customHeight="1" thickBot="1">
      <c r="A595" s="139"/>
      <c r="B595" s="139"/>
      <c r="C595" s="139"/>
    </row>
    <row r="596" spans="1:3" ht="14.25" customHeight="1" thickBot="1">
      <c r="A596" s="139"/>
      <c r="B596" s="139"/>
      <c r="C596" s="139"/>
    </row>
    <row r="597" spans="1:3" ht="14.25" customHeight="1" thickBot="1">
      <c r="A597" s="139"/>
      <c r="B597" s="139"/>
      <c r="C597" s="139"/>
    </row>
    <row r="598" spans="1:3" ht="14.25" customHeight="1" thickBot="1">
      <c r="A598" s="139"/>
      <c r="B598" s="139"/>
      <c r="C598" s="139"/>
    </row>
    <row r="599" spans="1:3" ht="14.25" customHeight="1" thickBot="1">
      <c r="A599" s="139"/>
      <c r="B599" s="139"/>
      <c r="C599" s="139"/>
    </row>
    <row r="600" spans="1:3" ht="14.25" customHeight="1" thickBot="1">
      <c r="A600" s="139"/>
      <c r="B600" s="139"/>
      <c r="C600" s="139"/>
    </row>
    <row r="601" spans="1:3" ht="14.25" customHeight="1" thickBot="1">
      <c r="A601" s="139"/>
      <c r="B601" s="139"/>
      <c r="C601" s="139"/>
    </row>
    <row r="602" spans="1:3" ht="14.25" customHeight="1" thickBot="1">
      <c r="A602" s="139"/>
      <c r="B602" s="139"/>
      <c r="C602" s="139"/>
    </row>
    <row r="603" spans="1:3" ht="14.25" customHeight="1" thickBot="1">
      <c r="A603" s="139"/>
      <c r="B603" s="139"/>
      <c r="C603" s="139"/>
    </row>
    <row r="604" spans="1:3" ht="14.25" customHeight="1" thickBot="1">
      <c r="A604" s="139"/>
      <c r="B604" s="139"/>
      <c r="C604" s="139"/>
    </row>
    <row r="605" spans="1:3" ht="14.25" customHeight="1" thickBot="1">
      <c r="A605" s="139"/>
      <c r="B605" s="139"/>
      <c r="C605" s="139"/>
    </row>
    <row r="606" spans="1:3" ht="14.25" customHeight="1" thickBot="1">
      <c r="A606" s="139"/>
      <c r="B606" s="139"/>
      <c r="C606" s="139"/>
    </row>
    <row r="607" spans="1:3" ht="14.25" customHeight="1" thickBot="1">
      <c r="A607" s="139"/>
      <c r="B607" s="139"/>
      <c r="C607" s="139"/>
    </row>
    <row r="608" spans="1:3" ht="14.25" customHeight="1" thickBot="1">
      <c r="A608" s="139"/>
      <c r="B608" s="139"/>
      <c r="C608" s="139"/>
    </row>
    <row r="609" spans="1:3" ht="14.25" customHeight="1" thickBot="1">
      <c r="A609" s="139"/>
      <c r="B609" s="139"/>
      <c r="C609" s="139"/>
    </row>
    <row r="610" spans="1:3" ht="14.25" customHeight="1" thickBot="1">
      <c r="A610" s="139"/>
      <c r="B610" s="139"/>
      <c r="C610" s="139"/>
    </row>
    <row r="611" spans="1:3" ht="14.25" customHeight="1" thickBot="1">
      <c r="A611" s="139"/>
      <c r="B611" s="139"/>
      <c r="C611" s="139"/>
    </row>
    <row r="612" spans="1:3" ht="14.25" customHeight="1" thickBot="1">
      <c r="A612" s="139"/>
      <c r="B612" s="139"/>
      <c r="C612" s="139"/>
    </row>
    <row r="613" spans="1:3" ht="14.25" customHeight="1" thickBot="1">
      <c r="A613" s="139"/>
      <c r="B613" s="139"/>
      <c r="C613" s="139"/>
    </row>
    <row r="614" spans="1:3" ht="14.25" customHeight="1" thickBot="1">
      <c r="A614" s="139"/>
      <c r="B614" s="139"/>
      <c r="C614" s="139"/>
    </row>
    <row r="615" spans="1:3" ht="14.25" customHeight="1" thickBot="1">
      <c r="A615" s="139"/>
      <c r="B615" s="139"/>
      <c r="C615" s="139"/>
    </row>
    <row r="616" spans="1:3" ht="14.25" customHeight="1" thickBot="1">
      <c r="A616" s="139"/>
      <c r="B616" s="139"/>
      <c r="C616" s="139"/>
    </row>
    <row r="617" spans="1:3" ht="14.25" customHeight="1" thickBot="1">
      <c r="A617" s="139"/>
      <c r="B617" s="139"/>
      <c r="C617" s="139"/>
    </row>
    <row r="618" spans="1:3" ht="14.25" customHeight="1" thickBot="1">
      <c r="A618" s="139"/>
      <c r="B618" s="139"/>
      <c r="C618" s="139"/>
    </row>
    <row r="619" spans="1:3" ht="14.25" customHeight="1" thickBot="1">
      <c r="A619" s="139"/>
      <c r="B619" s="139"/>
      <c r="C619" s="139"/>
    </row>
    <row r="620" spans="1:3" ht="14.25" customHeight="1" thickBot="1">
      <c r="A620" s="139"/>
      <c r="B620" s="139"/>
      <c r="C620" s="139"/>
    </row>
    <row r="621" spans="1:3" ht="14.25" customHeight="1" thickBot="1">
      <c r="A621" s="139"/>
      <c r="B621" s="139"/>
      <c r="C621" s="139"/>
    </row>
    <row r="622" spans="1:3" ht="14.25" customHeight="1" thickBot="1">
      <c r="A622" s="139"/>
      <c r="B622" s="139"/>
      <c r="C622" s="139"/>
    </row>
    <row r="623" spans="1:3" ht="14.25" customHeight="1" thickBot="1">
      <c r="A623" s="139"/>
      <c r="B623" s="139"/>
      <c r="C623" s="139"/>
    </row>
    <row r="624" spans="1:3" ht="14.25" customHeight="1" thickBot="1">
      <c r="A624" s="139"/>
      <c r="B624" s="139"/>
      <c r="C624" s="139"/>
    </row>
    <row r="625" spans="1:3" ht="14.25" customHeight="1" thickBot="1">
      <c r="A625" s="139"/>
      <c r="B625" s="139"/>
      <c r="C625" s="139"/>
    </row>
    <row r="626" spans="1:3" ht="14.25" customHeight="1" thickBot="1">
      <c r="A626" s="139"/>
      <c r="B626" s="139"/>
      <c r="C626" s="139"/>
    </row>
    <row r="627" spans="1:3" ht="14.25" customHeight="1" thickBot="1">
      <c r="A627" s="139"/>
      <c r="B627" s="139"/>
      <c r="C627" s="139"/>
    </row>
    <row r="628" spans="1:3" ht="14.25" customHeight="1" thickBot="1">
      <c r="A628" s="139"/>
      <c r="B628" s="139"/>
      <c r="C628" s="139"/>
    </row>
    <row r="629" spans="1:3" ht="14.25" customHeight="1" thickBot="1">
      <c r="A629" s="139"/>
      <c r="B629" s="139"/>
      <c r="C629" s="139"/>
    </row>
    <row r="630" spans="1:3" ht="14.25" customHeight="1" thickBot="1">
      <c r="A630" s="139"/>
      <c r="B630" s="139"/>
      <c r="C630" s="139"/>
    </row>
    <row r="631" spans="1:3" ht="14.25" customHeight="1" thickBot="1">
      <c r="A631" s="139"/>
      <c r="B631" s="139"/>
      <c r="C631" s="139"/>
    </row>
    <row r="632" spans="1:3" ht="14.25" customHeight="1" thickBot="1">
      <c r="A632" s="139"/>
      <c r="B632" s="139"/>
      <c r="C632" s="139"/>
    </row>
    <row r="633" spans="1:3" ht="14.25" customHeight="1" thickBot="1">
      <c r="A633" s="139"/>
      <c r="B633" s="139"/>
      <c r="C633" s="139"/>
    </row>
    <row r="634" spans="1:3" ht="14.25" customHeight="1" thickBot="1">
      <c r="A634" s="139"/>
      <c r="B634" s="139"/>
      <c r="C634" s="139"/>
    </row>
    <row r="635" spans="1:3" ht="14.25" customHeight="1" thickBot="1">
      <c r="A635" s="139"/>
      <c r="B635" s="139"/>
      <c r="C635" s="139"/>
    </row>
    <row r="636" spans="1:3" ht="14.25" customHeight="1" thickBot="1">
      <c r="A636" s="139"/>
      <c r="B636" s="139"/>
      <c r="C636" s="139"/>
    </row>
    <row r="637" spans="1:3" ht="14.25" customHeight="1" thickBot="1">
      <c r="A637" s="139"/>
      <c r="B637" s="139"/>
      <c r="C637" s="139"/>
    </row>
    <row r="638" spans="1:3" ht="14.25" customHeight="1" thickBot="1">
      <c r="A638" s="139"/>
      <c r="B638" s="139"/>
      <c r="C638" s="139"/>
    </row>
    <row r="639" spans="1:3" ht="14.25" customHeight="1" thickBot="1">
      <c r="A639" s="139"/>
      <c r="B639" s="139"/>
      <c r="C639" s="139"/>
    </row>
    <row r="640" spans="1:3" ht="14.25" customHeight="1" thickBot="1">
      <c r="A640" s="139"/>
      <c r="B640" s="139"/>
      <c r="C640" s="139"/>
    </row>
    <row r="641" spans="1:3" ht="14.25" customHeight="1" thickBot="1">
      <c r="A641" s="139"/>
      <c r="B641" s="139"/>
      <c r="C641" s="139"/>
    </row>
    <row r="642" spans="1:3" ht="14.25" customHeight="1" thickBot="1">
      <c r="A642" s="139"/>
      <c r="B642" s="139"/>
      <c r="C642" s="139"/>
    </row>
    <row r="643" spans="1:3" ht="14.25" customHeight="1" thickBot="1">
      <c r="A643" s="139"/>
      <c r="B643" s="139"/>
      <c r="C643" s="139"/>
    </row>
    <row r="644" spans="1:3" ht="14.25" customHeight="1" thickBot="1">
      <c r="A644" s="139"/>
      <c r="B644" s="139"/>
      <c r="C644" s="139"/>
    </row>
    <row r="645" spans="1:3" ht="14.25" customHeight="1" thickBot="1">
      <c r="A645" s="139"/>
      <c r="B645" s="139"/>
      <c r="C645" s="139"/>
    </row>
    <row r="646" spans="1:3" ht="14.25" customHeight="1" thickBot="1">
      <c r="A646" s="139"/>
      <c r="B646" s="139"/>
      <c r="C646" s="139"/>
    </row>
    <row r="647" spans="1:3" ht="14.25" customHeight="1" thickBot="1">
      <c r="A647" s="139"/>
      <c r="B647" s="139"/>
      <c r="C647" s="139"/>
    </row>
    <row r="648" spans="1:3" ht="14.25" customHeight="1" thickBot="1">
      <c r="A648" s="139"/>
      <c r="B648" s="139"/>
      <c r="C648" s="139"/>
    </row>
    <row r="649" spans="1:3" ht="14.25" customHeight="1" thickBot="1">
      <c r="A649" s="139"/>
      <c r="B649" s="139"/>
      <c r="C649" s="139"/>
    </row>
    <row r="650" spans="1:3" ht="14.25" customHeight="1" thickBot="1">
      <c r="A650" s="139"/>
      <c r="B650" s="139"/>
      <c r="C650" s="139"/>
    </row>
    <row r="651" spans="1:3" ht="14.25" customHeight="1" thickBot="1">
      <c r="A651" s="139"/>
      <c r="B651" s="139"/>
      <c r="C651" s="139"/>
    </row>
    <row r="652" spans="1:3" ht="14.25" customHeight="1" thickBot="1">
      <c r="A652" s="139"/>
      <c r="B652" s="139"/>
      <c r="C652" s="139"/>
    </row>
    <row r="653" spans="1:3" ht="14.25" customHeight="1" thickBot="1">
      <c r="A653" s="139"/>
      <c r="B653" s="139"/>
      <c r="C653" s="139"/>
    </row>
    <row r="654" spans="1:3" ht="14.25" customHeight="1" thickBot="1">
      <c r="A654" s="139"/>
      <c r="B654" s="139"/>
      <c r="C654" s="139"/>
    </row>
    <row r="655" spans="1:3" ht="14.25" customHeight="1" thickBot="1">
      <c r="A655" s="139"/>
      <c r="B655" s="139"/>
      <c r="C655" s="139"/>
    </row>
    <row r="656" spans="1:3" ht="14.25" customHeight="1" thickBot="1">
      <c r="A656" s="139"/>
      <c r="B656" s="139"/>
      <c r="C656" s="139"/>
    </row>
    <row r="657" spans="1:3" ht="14.25" customHeight="1" thickBot="1">
      <c r="A657" s="139"/>
      <c r="B657" s="139"/>
      <c r="C657" s="139"/>
    </row>
    <row r="658" spans="1:3" ht="14.25" customHeight="1" thickBot="1">
      <c r="A658" s="139"/>
      <c r="B658" s="139"/>
      <c r="C658" s="139"/>
    </row>
    <row r="659" spans="1:3" ht="14.25" customHeight="1" thickBot="1">
      <c r="A659" s="139"/>
      <c r="B659" s="139"/>
      <c r="C659" s="139"/>
    </row>
    <row r="660" spans="1:3" ht="14.25" customHeight="1" thickBot="1">
      <c r="A660" s="139"/>
      <c r="B660" s="139"/>
      <c r="C660" s="139"/>
    </row>
    <row r="661" spans="1:3" ht="14.25" customHeight="1" thickBot="1">
      <c r="A661" s="139"/>
      <c r="B661" s="139"/>
      <c r="C661" s="139"/>
    </row>
    <row r="662" spans="1:3" ht="14.25" customHeight="1" thickBot="1">
      <c r="A662" s="139"/>
      <c r="B662" s="139"/>
      <c r="C662" s="139"/>
    </row>
    <row r="663" spans="1:3" ht="14.25" customHeight="1" thickBot="1">
      <c r="A663" s="139"/>
      <c r="B663" s="139"/>
      <c r="C663" s="139"/>
    </row>
    <row r="664" spans="1:3" ht="14.25" customHeight="1" thickBot="1">
      <c r="A664" s="139"/>
      <c r="B664" s="139"/>
      <c r="C664" s="139"/>
    </row>
    <row r="665" spans="1:3" ht="14.25" customHeight="1" thickBot="1">
      <c r="A665" s="139"/>
      <c r="B665" s="139"/>
      <c r="C665" s="139"/>
    </row>
    <row r="666" spans="1:3" ht="14.25" customHeight="1" thickBot="1">
      <c r="A666" s="139"/>
      <c r="B666" s="139"/>
      <c r="C666" s="139"/>
    </row>
    <row r="667" spans="1:3" ht="14.25" customHeight="1" thickBot="1">
      <c r="A667" s="139"/>
      <c r="B667" s="139"/>
      <c r="C667" s="139"/>
    </row>
    <row r="668" spans="1:3" ht="14.25" customHeight="1" thickBot="1">
      <c r="A668" s="139"/>
      <c r="B668" s="139"/>
      <c r="C668" s="139"/>
    </row>
    <row r="669" spans="1:3" ht="14.25" customHeight="1" thickBot="1">
      <c r="A669" s="139"/>
      <c r="B669" s="139"/>
      <c r="C669" s="139"/>
    </row>
    <row r="670" spans="1:3" ht="14.25" customHeight="1" thickBot="1">
      <c r="A670" s="139"/>
      <c r="B670" s="139"/>
      <c r="C670" s="139"/>
    </row>
    <row r="671" spans="1:3" ht="14.25" customHeight="1" thickBot="1">
      <c r="A671" s="139"/>
      <c r="B671" s="139"/>
      <c r="C671" s="139"/>
    </row>
    <row r="672" spans="1:3" ht="14.25" customHeight="1" thickBot="1">
      <c r="A672" s="139"/>
      <c r="B672" s="139"/>
      <c r="C672" s="139"/>
    </row>
    <row r="673" spans="1:3" ht="14.25" customHeight="1" thickBot="1">
      <c r="A673" s="139"/>
      <c r="B673" s="139"/>
      <c r="C673" s="139"/>
    </row>
    <row r="674" spans="1:3" ht="14.25" customHeight="1" thickBot="1">
      <c r="A674" s="139"/>
      <c r="B674" s="139"/>
      <c r="C674" s="139"/>
    </row>
    <row r="675" spans="1:3" ht="14.25" customHeight="1" thickBot="1">
      <c r="A675" s="139"/>
      <c r="B675" s="139"/>
      <c r="C675" s="139"/>
    </row>
    <row r="676" spans="1:3" ht="14.25" customHeight="1" thickBot="1">
      <c r="A676" s="139"/>
      <c r="B676" s="139"/>
      <c r="C676" s="139"/>
    </row>
    <row r="677" spans="1:3" ht="14.25" customHeight="1" thickBot="1">
      <c r="A677" s="139"/>
      <c r="B677" s="139"/>
      <c r="C677" s="139"/>
    </row>
    <row r="678" spans="1:3" ht="14.25" customHeight="1" thickBot="1">
      <c r="A678" s="139"/>
      <c r="B678" s="139"/>
      <c r="C678" s="139"/>
    </row>
    <row r="679" spans="1:3" ht="14.25" customHeight="1" thickBot="1">
      <c r="A679" s="139"/>
      <c r="B679" s="139"/>
      <c r="C679" s="139"/>
    </row>
    <row r="680" spans="1:3" ht="14.25" customHeight="1" thickBot="1">
      <c r="A680" s="139"/>
      <c r="B680" s="139"/>
      <c r="C680" s="139"/>
    </row>
    <row r="681" spans="1:3" ht="14.25" customHeight="1" thickBot="1">
      <c r="A681" s="139"/>
      <c r="B681" s="139"/>
      <c r="C681" s="139"/>
    </row>
    <row r="682" spans="1:3" ht="14.25" customHeight="1" thickBot="1">
      <c r="A682" s="139"/>
      <c r="B682" s="139"/>
      <c r="C682" s="139"/>
    </row>
    <row r="683" spans="1:3" ht="14.25" customHeight="1" thickBot="1">
      <c r="A683" s="139"/>
      <c r="B683" s="139"/>
      <c r="C683" s="139"/>
    </row>
    <row r="684" spans="1:3" ht="14.25" customHeight="1" thickBot="1">
      <c r="A684" s="139"/>
      <c r="B684" s="139"/>
      <c r="C684" s="139"/>
    </row>
    <row r="685" spans="1:3" ht="14.25" customHeight="1" thickBot="1">
      <c r="A685" s="139"/>
      <c r="B685" s="139"/>
      <c r="C685" s="139"/>
    </row>
    <row r="686" spans="1:3" ht="14.25" customHeight="1" thickBot="1">
      <c r="A686" s="139"/>
      <c r="B686" s="139"/>
      <c r="C686" s="139"/>
    </row>
    <row r="687" spans="1:3" ht="14.25" customHeight="1" thickBot="1">
      <c r="A687" s="139"/>
      <c r="B687" s="139"/>
      <c r="C687" s="139"/>
    </row>
    <row r="688" spans="1:3" ht="14.25" customHeight="1" thickBot="1">
      <c r="A688" s="139"/>
      <c r="B688" s="139"/>
      <c r="C688" s="139"/>
    </row>
    <row r="689" spans="1:3" ht="14.25" customHeight="1" thickBot="1">
      <c r="A689" s="139"/>
      <c r="B689" s="139"/>
      <c r="C689" s="139"/>
    </row>
    <row r="690" spans="1:3" ht="14.25" customHeight="1" thickBot="1">
      <c r="A690" s="139"/>
      <c r="B690" s="139"/>
      <c r="C690" s="139"/>
    </row>
    <row r="691" spans="1:3" ht="14.25" customHeight="1" thickBot="1">
      <c r="A691" s="139"/>
      <c r="B691" s="139"/>
      <c r="C691" s="139"/>
    </row>
    <row r="692" spans="1:3" ht="14.25" customHeight="1" thickBot="1">
      <c r="A692" s="139"/>
      <c r="B692" s="139"/>
      <c r="C692" s="139"/>
    </row>
    <row r="693" spans="1:3" ht="14.25" customHeight="1" thickBot="1">
      <c r="A693" s="139"/>
      <c r="B693" s="139"/>
      <c r="C693" s="139"/>
    </row>
    <row r="694" spans="1:3" ht="14.25" customHeight="1" thickBot="1">
      <c r="A694" s="139"/>
      <c r="B694" s="139"/>
      <c r="C694" s="139"/>
    </row>
    <row r="695" spans="1:3" ht="14.25" customHeight="1" thickBot="1">
      <c r="A695" s="139"/>
      <c r="B695" s="139"/>
      <c r="C695" s="139"/>
    </row>
    <row r="696" spans="1:3" ht="14.25" customHeight="1" thickBot="1">
      <c r="A696" s="139"/>
      <c r="B696" s="139"/>
      <c r="C696" s="139"/>
    </row>
    <row r="697" spans="1:3" ht="14.25" customHeight="1" thickBot="1">
      <c r="A697" s="139"/>
      <c r="B697" s="139"/>
      <c r="C697" s="139"/>
    </row>
    <row r="698" spans="1:3" ht="14.25" customHeight="1" thickBot="1">
      <c r="A698" s="139"/>
      <c r="B698" s="139"/>
      <c r="C698" s="139"/>
    </row>
    <row r="699" spans="1:3" ht="14.25" customHeight="1" thickBot="1">
      <c r="A699" s="139"/>
      <c r="B699" s="139"/>
      <c r="C699" s="139"/>
    </row>
    <row r="700" spans="1:3" ht="14.25" customHeight="1" thickBot="1">
      <c r="A700" s="139"/>
      <c r="B700" s="139"/>
      <c r="C700" s="139"/>
    </row>
    <row r="701" spans="1:3" ht="14.25" customHeight="1" thickBot="1">
      <c r="A701" s="139"/>
      <c r="B701" s="139"/>
      <c r="C701" s="139"/>
    </row>
    <row r="702" spans="1:3" ht="14.25" customHeight="1" thickBot="1">
      <c r="A702" s="139"/>
      <c r="B702" s="139"/>
      <c r="C702" s="139"/>
    </row>
    <row r="703" spans="1:3" ht="14.25" customHeight="1" thickBot="1">
      <c r="A703" s="139"/>
      <c r="B703" s="139"/>
      <c r="C703" s="139"/>
    </row>
    <row r="704" spans="1:3" ht="14.25" customHeight="1" thickBot="1">
      <c r="A704" s="139"/>
      <c r="B704" s="139"/>
      <c r="C704" s="139"/>
    </row>
    <row r="705" spans="1:3" ht="14.25" customHeight="1" thickBot="1">
      <c r="A705" s="139"/>
      <c r="B705" s="139"/>
      <c r="C705" s="139"/>
    </row>
    <row r="706" spans="1:3" ht="14.25" customHeight="1" thickBot="1">
      <c r="A706" s="139"/>
      <c r="B706" s="139"/>
      <c r="C706" s="139"/>
    </row>
    <row r="707" spans="1:3" ht="14.25" customHeight="1" thickBot="1">
      <c r="A707" s="139"/>
      <c r="B707" s="139"/>
      <c r="C707" s="139"/>
    </row>
    <row r="708" spans="1:3" ht="14.25" customHeight="1" thickBot="1">
      <c r="A708" s="139"/>
      <c r="B708" s="139"/>
      <c r="C708" s="139"/>
    </row>
    <row r="709" spans="1:3" ht="14.25" customHeight="1" thickBot="1">
      <c r="A709" s="139"/>
      <c r="B709" s="139"/>
      <c r="C709" s="139"/>
    </row>
    <row r="710" spans="1:3" ht="14.25" customHeight="1" thickBot="1">
      <c r="A710" s="139"/>
      <c r="B710" s="139"/>
      <c r="C710" s="139"/>
    </row>
    <row r="711" spans="1:3" ht="14.25" customHeight="1" thickBot="1">
      <c r="A711" s="139"/>
      <c r="B711" s="139"/>
      <c r="C711" s="139"/>
    </row>
    <row r="712" spans="1:3" ht="14.25" customHeight="1" thickBot="1">
      <c r="A712" s="139"/>
      <c r="B712" s="139"/>
      <c r="C712" s="139"/>
    </row>
    <row r="713" spans="1:3" ht="14.25" customHeight="1" thickBot="1">
      <c r="A713" s="139"/>
      <c r="B713" s="139"/>
      <c r="C713" s="139"/>
    </row>
    <row r="714" spans="1:3" ht="14.25" customHeight="1" thickBot="1">
      <c r="A714" s="139"/>
      <c r="B714" s="139"/>
      <c r="C714" s="139"/>
    </row>
    <row r="715" spans="1:3" ht="14.25" customHeight="1" thickBot="1">
      <c r="A715" s="139"/>
      <c r="B715" s="139"/>
      <c r="C715" s="139"/>
    </row>
    <row r="716" spans="1:3" ht="14.25" customHeight="1" thickBot="1">
      <c r="A716" s="139"/>
      <c r="B716" s="139"/>
      <c r="C716" s="139"/>
    </row>
    <row r="717" spans="1:3" ht="14.25" customHeight="1" thickBot="1">
      <c r="A717" s="139"/>
      <c r="B717" s="139"/>
      <c r="C717" s="139"/>
    </row>
    <row r="718" spans="1:3" ht="14.25" customHeight="1" thickBot="1">
      <c r="A718" s="139"/>
      <c r="B718" s="139"/>
      <c r="C718" s="139"/>
    </row>
    <row r="719" spans="1:3" ht="14.25" customHeight="1" thickBot="1">
      <c r="A719" s="139"/>
      <c r="B719" s="139"/>
      <c r="C719" s="139"/>
    </row>
    <row r="720" spans="1:3" ht="14.25" customHeight="1" thickBot="1">
      <c r="A720" s="139"/>
      <c r="B720" s="139"/>
      <c r="C720" s="139"/>
    </row>
    <row r="721" spans="1:3" ht="14.25" customHeight="1" thickBot="1">
      <c r="A721" s="139"/>
      <c r="B721" s="139"/>
      <c r="C721" s="139"/>
    </row>
    <row r="722" spans="1:3" ht="14.25" customHeight="1" thickBot="1">
      <c r="A722" s="139"/>
      <c r="B722" s="139"/>
      <c r="C722" s="139"/>
    </row>
    <row r="723" spans="1:3" ht="14.25" customHeight="1" thickBot="1">
      <c r="A723" s="139"/>
      <c r="B723" s="139"/>
      <c r="C723" s="139"/>
    </row>
    <row r="724" spans="1:3" ht="14.25" customHeight="1" thickBot="1">
      <c r="A724" s="139"/>
      <c r="B724" s="139"/>
      <c r="C724" s="139"/>
    </row>
    <row r="725" spans="1:3" ht="14.25" customHeight="1" thickBot="1">
      <c r="A725" s="139"/>
      <c r="B725" s="139"/>
      <c r="C725" s="139"/>
    </row>
    <row r="726" spans="1:3" ht="14.25" customHeight="1" thickBot="1">
      <c r="A726" s="139"/>
      <c r="B726" s="139"/>
      <c r="C726" s="139"/>
    </row>
    <row r="727" spans="1:3" ht="14.25" customHeight="1" thickBot="1">
      <c r="A727" s="139"/>
      <c r="B727" s="139"/>
      <c r="C727" s="139"/>
    </row>
    <row r="728" spans="1:3" ht="14.25" customHeight="1" thickBot="1">
      <c r="A728" s="139"/>
      <c r="B728" s="139"/>
      <c r="C728" s="139"/>
    </row>
    <row r="729" spans="1:3" ht="14.25" customHeight="1" thickBot="1">
      <c r="A729" s="139"/>
      <c r="B729" s="139"/>
      <c r="C729" s="139"/>
    </row>
    <row r="730" spans="1:3" ht="14.25" customHeight="1" thickBot="1">
      <c r="A730" s="139"/>
      <c r="B730" s="139"/>
      <c r="C730" s="139"/>
    </row>
    <row r="731" spans="1:3" ht="14.25" customHeight="1" thickBot="1">
      <c r="A731" s="139"/>
      <c r="B731" s="139"/>
      <c r="C731" s="139"/>
    </row>
    <row r="732" spans="1:3" ht="14.25" customHeight="1" thickBot="1">
      <c r="A732" s="139"/>
      <c r="B732" s="139"/>
      <c r="C732" s="139"/>
    </row>
    <row r="733" spans="1:3" ht="14.25" customHeight="1" thickBot="1">
      <c r="A733" s="139"/>
      <c r="B733" s="139"/>
      <c r="C733" s="139"/>
    </row>
    <row r="734" spans="1:3" ht="14.25" customHeight="1" thickBot="1">
      <c r="A734" s="139"/>
      <c r="B734" s="139"/>
      <c r="C734" s="139"/>
    </row>
    <row r="735" spans="1:3" ht="14.25" customHeight="1" thickBot="1">
      <c r="A735" s="139"/>
      <c r="B735" s="139"/>
      <c r="C735" s="139"/>
    </row>
    <row r="736" spans="1:3" ht="14.25" customHeight="1" thickBot="1">
      <c r="A736" s="139"/>
      <c r="B736" s="139"/>
      <c r="C736" s="139"/>
    </row>
    <row r="737" spans="1:3" ht="14.25" customHeight="1" thickBot="1">
      <c r="A737" s="139"/>
      <c r="B737" s="139"/>
      <c r="C737" s="139"/>
    </row>
    <row r="738" spans="1:3" ht="14.25" customHeight="1" thickBot="1">
      <c r="A738" s="139"/>
      <c r="B738" s="139"/>
      <c r="C738" s="139"/>
    </row>
    <row r="739" spans="1:3" ht="14.25" customHeight="1" thickBot="1">
      <c r="A739" s="139"/>
      <c r="B739" s="139"/>
      <c r="C739" s="139"/>
    </row>
    <row r="740" spans="1:3" ht="14.25" customHeight="1" thickBot="1">
      <c r="A740" s="139"/>
      <c r="B740" s="139"/>
      <c r="C740" s="139"/>
    </row>
    <row r="741" spans="1:3" ht="14.25" customHeight="1" thickBot="1">
      <c r="A741" s="139"/>
      <c r="B741" s="139"/>
      <c r="C741" s="139"/>
    </row>
    <row r="742" spans="1:3" ht="14.25" customHeight="1" thickBot="1">
      <c r="A742" s="139"/>
      <c r="B742" s="139"/>
      <c r="C742" s="139"/>
    </row>
    <row r="743" spans="1:3" ht="14.25" customHeight="1" thickBot="1">
      <c r="A743" s="139"/>
      <c r="B743" s="139"/>
      <c r="C743" s="139"/>
    </row>
    <row r="744" spans="1:3" ht="14.25" customHeight="1" thickBot="1">
      <c r="A744" s="139"/>
      <c r="B744" s="139"/>
      <c r="C744" s="139"/>
    </row>
    <row r="745" spans="1:3" ht="14.25" customHeight="1" thickBot="1">
      <c r="A745" s="139"/>
      <c r="B745" s="139"/>
      <c r="C745" s="139"/>
    </row>
    <row r="746" spans="1:3" ht="14.25" customHeight="1" thickBot="1">
      <c r="A746" s="139"/>
      <c r="B746" s="139"/>
      <c r="C746" s="139"/>
    </row>
    <row r="747" spans="1:3" ht="14.25" customHeight="1" thickBot="1">
      <c r="A747" s="139"/>
      <c r="B747" s="139"/>
      <c r="C747" s="139"/>
    </row>
    <row r="748" spans="1:3" ht="14.25" customHeight="1" thickBot="1">
      <c r="A748" s="139"/>
      <c r="B748" s="139"/>
      <c r="C748" s="139"/>
    </row>
    <row r="749" spans="1:3" ht="14.25" customHeight="1" thickBot="1">
      <c r="A749" s="139"/>
      <c r="B749" s="139"/>
      <c r="C749" s="139"/>
    </row>
    <row r="750" spans="1:3" ht="14.25" customHeight="1" thickBot="1">
      <c r="A750" s="139"/>
      <c r="B750" s="139"/>
      <c r="C750" s="139"/>
    </row>
    <row r="751" spans="1:3" ht="14.25" customHeight="1" thickBot="1">
      <c r="A751" s="139"/>
      <c r="B751" s="139"/>
      <c r="C751" s="139"/>
    </row>
    <row r="752" spans="1:3" ht="14.25" customHeight="1" thickBot="1">
      <c r="A752" s="139"/>
      <c r="B752" s="139"/>
      <c r="C752" s="139"/>
    </row>
    <row r="753" spans="1:3" ht="14.25" customHeight="1" thickBot="1">
      <c r="A753" s="139"/>
      <c r="B753" s="139"/>
      <c r="C753" s="139"/>
    </row>
    <row r="754" spans="1:3" ht="14.25" customHeight="1" thickBot="1">
      <c r="A754" s="139"/>
      <c r="B754" s="139"/>
      <c r="C754" s="139"/>
    </row>
    <row r="755" spans="1:3" ht="14.25" customHeight="1" thickBot="1">
      <c r="A755" s="139"/>
      <c r="B755" s="139"/>
      <c r="C755" s="139"/>
    </row>
    <row r="756" spans="1:3" ht="14.25" customHeight="1" thickBot="1">
      <c r="A756" s="139"/>
      <c r="B756" s="139"/>
      <c r="C756" s="139"/>
    </row>
    <row r="757" spans="1:3" ht="14.25" customHeight="1" thickBot="1">
      <c r="A757" s="139"/>
      <c r="B757" s="139"/>
      <c r="C757" s="139"/>
    </row>
    <row r="758" spans="1:3" ht="14.25" customHeight="1" thickBot="1">
      <c r="A758" s="139"/>
      <c r="B758" s="139"/>
      <c r="C758" s="139"/>
    </row>
    <row r="759" spans="1:3" ht="14.25" customHeight="1" thickBot="1">
      <c r="A759" s="139"/>
      <c r="B759" s="139"/>
      <c r="C759" s="139"/>
    </row>
    <row r="760" spans="1:3" ht="14.25" customHeight="1" thickBot="1">
      <c r="A760" s="139"/>
      <c r="B760" s="139"/>
      <c r="C760" s="139"/>
    </row>
    <row r="761" spans="1:3" ht="14.25" customHeight="1" thickBot="1">
      <c r="A761" s="139"/>
      <c r="B761" s="139"/>
      <c r="C761" s="139"/>
    </row>
    <row r="762" spans="1:3" ht="14.25" customHeight="1" thickBot="1">
      <c r="A762" s="139"/>
      <c r="B762" s="139"/>
      <c r="C762" s="139"/>
    </row>
    <row r="763" spans="1:3" ht="14.25" customHeight="1" thickBot="1">
      <c r="A763" s="139"/>
      <c r="B763" s="139"/>
      <c r="C763" s="139"/>
    </row>
    <row r="764" spans="1:3" ht="14.25" customHeight="1" thickBot="1">
      <c r="A764" s="139"/>
      <c r="B764" s="139"/>
      <c r="C764" s="139"/>
    </row>
    <row r="765" spans="1:3" ht="14.25" customHeight="1" thickBot="1">
      <c r="A765" s="139"/>
      <c r="B765" s="139"/>
      <c r="C765" s="139"/>
    </row>
    <row r="766" spans="1:3" ht="14.25" customHeight="1" thickBot="1">
      <c r="A766" s="139"/>
      <c r="B766" s="139"/>
      <c r="C766" s="139"/>
    </row>
    <row r="767" spans="1:3" ht="14.25" customHeight="1" thickBot="1">
      <c r="A767" s="139"/>
      <c r="B767" s="139"/>
      <c r="C767" s="139"/>
    </row>
    <row r="768" spans="1:3" ht="14.25" customHeight="1" thickBot="1">
      <c r="A768" s="139"/>
      <c r="B768" s="139"/>
      <c r="C768" s="139"/>
    </row>
    <row r="769" spans="1:3" ht="14.25" customHeight="1" thickBot="1">
      <c r="A769" s="139"/>
      <c r="B769" s="139"/>
      <c r="C769" s="139"/>
    </row>
    <row r="770" spans="1:3" ht="14.25" customHeight="1" thickBot="1">
      <c r="A770" s="139"/>
      <c r="B770" s="139"/>
      <c r="C770" s="139"/>
    </row>
    <row r="771" spans="1:3" ht="14.25" customHeight="1" thickBot="1">
      <c r="A771" s="139"/>
      <c r="B771" s="139"/>
      <c r="C771" s="139"/>
    </row>
    <row r="772" spans="1:3" ht="14.25" customHeight="1" thickBot="1">
      <c r="A772" s="139"/>
      <c r="B772" s="139"/>
      <c r="C772" s="139"/>
    </row>
    <row r="773" spans="1:3" ht="14.25" customHeight="1" thickBot="1">
      <c r="A773" s="139"/>
      <c r="B773" s="139"/>
      <c r="C773" s="139"/>
    </row>
    <row r="774" spans="1:3" ht="14.25" customHeight="1" thickBot="1">
      <c r="A774" s="139"/>
      <c r="B774" s="139"/>
      <c r="C774" s="139"/>
    </row>
    <row r="775" spans="1:3" ht="14.25" customHeight="1" thickBot="1">
      <c r="A775" s="139"/>
      <c r="B775" s="139"/>
      <c r="C775" s="139"/>
    </row>
    <row r="776" spans="1:3" ht="14.25" customHeight="1" thickBot="1">
      <c r="A776" s="139"/>
      <c r="B776" s="139"/>
      <c r="C776" s="139"/>
    </row>
    <row r="777" spans="1:3" ht="14.25" customHeight="1" thickBot="1">
      <c r="A777" s="139"/>
      <c r="B777" s="139"/>
      <c r="C777" s="139"/>
    </row>
    <row r="778" spans="1:3" ht="14.25" customHeight="1" thickBot="1">
      <c r="A778" s="139"/>
      <c r="B778" s="139"/>
      <c r="C778" s="139"/>
    </row>
    <row r="779" spans="1:3" ht="14.25" customHeight="1" thickBot="1">
      <c r="A779" s="139"/>
      <c r="B779" s="139"/>
      <c r="C779" s="139"/>
    </row>
    <row r="780" spans="1:3" ht="14.25" customHeight="1" thickBot="1">
      <c r="A780" s="139"/>
      <c r="B780" s="139"/>
      <c r="C780" s="139"/>
    </row>
    <row r="781" spans="1:3" ht="14.25" customHeight="1" thickBot="1">
      <c r="A781" s="139"/>
      <c r="B781" s="139"/>
      <c r="C781" s="139"/>
    </row>
    <row r="782" spans="1:3" ht="14.25" customHeight="1" thickBot="1">
      <c r="A782" s="139"/>
      <c r="B782" s="139"/>
      <c r="C782" s="139"/>
    </row>
    <row r="783" spans="1:3" ht="14.25" customHeight="1" thickBot="1">
      <c r="A783" s="139"/>
      <c r="B783" s="139"/>
      <c r="C783" s="139"/>
    </row>
    <row r="784" spans="1:3" ht="14.25" customHeight="1" thickBot="1">
      <c r="A784" s="139"/>
      <c r="B784" s="139"/>
      <c r="C784" s="139"/>
    </row>
    <row r="785" spans="1:3" ht="14.25" customHeight="1" thickBot="1">
      <c r="A785" s="139"/>
      <c r="B785" s="139"/>
      <c r="C785" s="139"/>
    </row>
    <row r="786" spans="1:3" ht="14.25" customHeight="1" thickBot="1">
      <c r="A786" s="139"/>
      <c r="B786" s="139"/>
      <c r="C786" s="139"/>
    </row>
    <row r="787" spans="1:3" ht="14.25" customHeight="1" thickBot="1">
      <c r="A787" s="139"/>
      <c r="B787" s="139"/>
      <c r="C787" s="139"/>
    </row>
    <row r="788" spans="1:3" ht="14.25" customHeight="1" thickBot="1">
      <c r="A788" s="139"/>
      <c r="B788" s="139"/>
      <c r="C788" s="139"/>
    </row>
    <row r="789" spans="1:3" ht="14.25" customHeight="1" thickBot="1">
      <c r="A789" s="139"/>
      <c r="B789" s="139"/>
      <c r="C789" s="139"/>
    </row>
    <row r="790" spans="1:3" ht="14.25" customHeight="1" thickBot="1">
      <c r="A790" s="139"/>
      <c r="B790" s="139"/>
      <c r="C790" s="139"/>
    </row>
    <row r="791" spans="1:3" ht="14.25" customHeight="1" thickBot="1">
      <c r="A791" s="139"/>
      <c r="B791" s="139"/>
      <c r="C791" s="139"/>
    </row>
    <row r="792" spans="1:3" ht="14.25" customHeight="1" thickBot="1">
      <c r="A792" s="139"/>
      <c r="B792" s="139"/>
      <c r="C792" s="139"/>
    </row>
    <row r="793" spans="1:3" ht="14.25" customHeight="1" thickBot="1">
      <c r="A793" s="139"/>
      <c r="B793" s="139"/>
      <c r="C793" s="139"/>
    </row>
    <row r="794" spans="1:3" ht="14.25" customHeight="1" thickBot="1">
      <c r="A794" s="139"/>
      <c r="B794" s="139"/>
      <c r="C794" s="139"/>
    </row>
    <row r="795" spans="1:3" ht="14.25" customHeight="1" thickBot="1">
      <c r="A795" s="139"/>
      <c r="B795" s="139"/>
      <c r="C795" s="139"/>
    </row>
    <row r="796" spans="1:3" ht="14.25" customHeight="1" thickBot="1">
      <c r="A796" s="139"/>
      <c r="B796" s="139"/>
      <c r="C796" s="139"/>
    </row>
    <row r="797" spans="1:3" ht="14.25" customHeight="1" thickBot="1">
      <c r="A797" s="139"/>
      <c r="B797" s="139"/>
      <c r="C797" s="139"/>
    </row>
    <row r="798" spans="1:3" ht="14.25" customHeight="1" thickBot="1">
      <c r="A798" s="139"/>
      <c r="B798" s="139"/>
      <c r="C798" s="139"/>
    </row>
    <row r="799" spans="1:3" ht="14.25" customHeight="1" thickBot="1">
      <c r="A799" s="139"/>
      <c r="B799" s="139"/>
      <c r="C799" s="139"/>
    </row>
    <row r="800" spans="1:3" ht="14.25" customHeight="1" thickBot="1">
      <c r="A800" s="139"/>
      <c r="B800" s="139"/>
      <c r="C800" s="139"/>
    </row>
    <row r="801" spans="1:3" ht="14.25" customHeight="1" thickBot="1">
      <c r="A801" s="139"/>
      <c r="B801" s="139"/>
      <c r="C801" s="139"/>
    </row>
    <row r="802" spans="1:3" ht="14.25" customHeight="1" thickBot="1">
      <c r="A802" s="139"/>
      <c r="B802" s="139"/>
      <c r="C802" s="139"/>
    </row>
    <row r="803" spans="1:3" ht="14.25" customHeight="1" thickBot="1">
      <c r="A803" s="139"/>
      <c r="B803" s="139"/>
      <c r="C803" s="139"/>
    </row>
    <row r="804" spans="1:3" ht="14.25" customHeight="1" thickBot="1">
      <c r="A804" s="139"/>
      <c r="B804" s="139"/>
      <c r="C804" s="139"/>
    </row>
    <row r="805" spans="1:3" ht="14.25" customHeight="1" thickBot="1">
      <c r="A805" s="139"/>
      <c r="B805" s="139"/>
      <c r="C805" s="139"/>
    </row>
    <row r="806" spans="1:3" ht="14.25" customHeight="1" thickBot="1">
      <c r="A806" s="139"/>
      <c r="B806" s="139"/>
      <c r="C806" s="139"/>
    </row>
    <row r="807" spans="1:3" ht="14.25" customHeight="1" thickBot="1">
      <c r="A807" s="139"/>
      <c r="B807" s="139"/>
      <c r="C807" s="139"/>
    </row>
    <row r="808" spans="1:3" ht="14.25" customHeight="1" thickBot="1">
      <c r="A808" s="139"/>
      <c r="B808" s="139"/>
      <c r="C808" s="139"/>
    </row>
    <row r="809" spans="1:3" ht="14.25" customHeight="1" thickBot="1">
      <c r="A809" s="139"/>
      <c r="B809" s="139"/>
      <c r="C809" s="139"/>
    </row>
    <row r="810" spans="1:3" ht="14.25" customHeight="1" thickBot="1">
      <c r="A810" s="139"/>
      <c r="B810" s="139"/>
      <c r="C810" s="139"/>
    </row>
    <row r="811" spans="1:3" ht="14.25" customHeight="1" thickBot="1">
      <c r="A811" s="139"/>
      <c r="B811" s="139"/>
      <c r="C811" s="139"/>
    </row>
    <row r="812" spans="1:3" ht="14.25" customHeight="1" thickBot="1">
      <c r="A812" s="139"/>
      <c r="B812" s="139"/>
      <c r="C812" s="139"/>
    </row>
    <row r="813" spans="1:3" ht="14.25" customHeight="1" thickBot="1">
      <c r="A813" s="139"/>
      <c r="B813" s="139"/>
      <c r="C813" s="139"/>
    </row>
    <row r="814" spans="1:3" ht="14.25" customHeight="1" thickBot="1">
      <c r="A814" s="139"/>
      <c r="B814" s="139"/>
      <c r="C814" s="139"/>
    </row>
    <row r="815" spans="1:3" ht="14.25" customHeight="1" thickBot="1">
      <c r="A815" s="139"/>
      <c r="B815" s="139"/>
      <c r="C815" s="139"/>
    </row>
    <row r="816" spans="1:3" ht="14.25" customHeight="1" thickBot="1">
      <c r="A816" s="139"/>
      <c r="B816" s="139"/>
      <c r="C816" s="139"/>
    </row>
    <row r="817" spans="1:3" ht="14.25" customHeight="1" thickBot="1">
      <c r="A817" s="139"/>
      <c r="B817" s="139"/>
      <c r="C817" s="139"/>
    </row>
    <row r="818" spans="1:3" ht="14.25" customHeight="1" thickBot="1">
      <c r="A818" s="139"/>
      <c r="B818" s="139"/>
      <c r="C818" s="139"/>
    </row>
    <row r="819" spans="1:3" ht="14.25" customHeight="1" thickBot="1">
      <c r="A819" s="139"/>
      <c r="B819" s="139"/>
      <c r="C819" s="139"/>
    </row>
    <row r="820" spans="1:3" ht="14.25" customHeight="1" thickBot="1">
      <c r="A820" s="139"/>
      <c r="B820" s="139"/>
      <c r="C820" s="139"/>
    </row>
    <row r="821" spans="1:3" ht="14.25" customHeight="1" thickBot="1">
      <c r="A821" s="139"/>
      <c r="B821" s="139"/>
      <c r="C821" s="139"/>
    </row>
    <row r="822" spans="1:3" ht="14.25" customHeight="1" thickBot="1">
      <c r="A822" s="139"/>
      <c r="B822" s="139"/>
      <c r="C822" s="139"/>
    </row>
    <row r="823" spans="1:3" ht="14.25" customHeight="1" thickBot="1">
      <c r="A823" s="139"/>
      <c r="B823" s="139"/>
      <c r="C823" s="139"/>
    </row>
    <row r="824" spans="1:3" ht="14.25" customHeight="1" thickBot="1">
      <c r="A824" s="139"/>
      <c r="B824" s="139"/>
      <c r="C824" s="139"/>
    </row>
    <row r="825" spans="1:3" ht="14.25" customHeight="1" thickBot="1">
      <c r="A825" s="139"/>
      <c r="B825" s="139"/>
      <c r="C825" s="139"/>
    </row>
    <row r="826" spans="1:3" ht="14.25" customHeight="1" thickBot="1">
      <c r="A826" s="139"/>
      <c r="B826" s="139"/>
      <c r="C826" s="139"/>
    </row>
    <row r="827" spans="1:3" ht="14.25" customHeight="1" thickBot="1">
      <c r="A827" s="139"/>
      <c r="B827" s="139"/>
      <c r="C827" s="139"/>
    </row>
    <row r="828" spans="1:3" ht="14.25" customHeight="1" thickBot="1">
      <c r="A828" s="139"/>
      <c r="B828" s="139"/>
      <c r="C828" s="139"/>
    </row>
    <row r="829" spans="1:3" ht="14.25" customHeight="1" thickBot="1">
      <c r="A829" s="139"/>
      <c r="B829" s="139"/>
      <c r="C829" s="139"/>
    </row>
    <row r="830" spans="1:3" ht="14.25" customHeight="1" thickBot="1">
      <c r="A830" s="139"/>
      <c r="B830" s="139"/>
      <c r="C830" s="139"/>
    </row>
    <row r="831" spans="1:3" ht="14.25" customHeight="1" thickBot="1">
      <c r="A831" s="139"/>
      <c r="B831" s="139"/>
      <c r="C831" s="139"/>
    </row>
    <row r="832" spans="1:3" ht="14.25" customHeight="1" thickBot="1">
      <c r="A832" s="139"/>
      <c r="B832" s="139"/>
      <c r="C832" s="139"/>
    </row>
    <row r="833" spans="1:3" ht="14.25" customHeight="1" thickBot="1">
      <c r="A833" s="139"/>
      <c r="B833" s="139"/>
      <c r="C833" s="139"/>
    </row>
    <row r="834" spans="1:3" ht="14.25" customHeight="1" thickBot="1">
      <c r="A834" s="139"/>
      <c r="B834" s="139"/>
      <c r="C834" s="139"/>
    </row>
    <row r="835" spans="1:3" ht="14.25" customHeight="1" thickBot="1">
      <c r="A835" s="139"/>
      <c r="B835" s="139"/>
      <c r="C835" s="139"/>
    </row>
    <row r="836" spans="1:3" ht="14.25" customHeight="1" thickBot="1">
      <c r="A836" s="139"/>
      <c r="B836" s="139"/>
      <c r="C836" s="139"/>
    </row>
    <row r="837" spans="1:3" ht="14.25" customHeight="1" thickBot="1">
      <c r="A837" s="139"/>
      <c r="B837" s="139"/>
      <c r="C837" s="139"/>
    </row>
    <row r="838" spans="1:3" ht="14.25" customHeight="1" thickBot="1">
      <c r="A838" s="139"/>
      <c r="B838" s="139"/>
      <c r="C838" s="139"/>
    </row>
    <row r="839" spans="1:3" ht="14.25" customHeight="1" thickBot="1">
      <c r="A839" s="139"/>
      <c r="B839" s="139"/>
      <c r="C839" s="139"/>
    </row>
    <row r="840" spans="1:3" ht="14.25" customHeight="1" thickBot="1">
      <c r="A840" s="139"/>
      <c r="B840" s="139"/>
      <c r="C840" s="139"/>
    </row>
    <row r="841" spans="1:3" ht="14.25" customHeight="1" thickBot="1">
      <c r="A841" s="139"/>
      <c r="B841" s="139"/>
      <c r="C841" s="139"/>
    </row>
    <row r="842" spans="1:3" ht="14.25" customHeight="1" thickBot="1">
      <c r="A842" s="139"/>
      <c r="B842" s="139"/>
      <c r="C842" s="139"/>
    </row>
    <row r="843" spans="1:3" ht="14.25" customHeight="1" thickBot="1">
      <c r="A843" s="139"/>
      <c r="B843" s="139"/>
      <c r="C843" s="139"/>
    </row>
    <row r="844" spans="1:3" ht="14.25" customHeight="1" thickBot="1">
      <c r="A844" s="139"/>
      <c r="B844" s="139"/>
      <c r="C844" s="139"/>
    </row>
    <row r="845" spans="1:3" ht="14.25" customHeight="1" thickBot="1">
      <c r="A845" s="139"/>
      <c r="B845" s="139"/>
      <c r="C845" s="139"/>
    </row>
    <row r="846" spans="1:3" ht="14.25" customHeight="1" thickBot="1">
      <c r="A846" s="139"/>
      <c r="B846" s="139"/>
      <c r="C846" s="139"/>
    </row>
    <row r="847" spans="1:3" ht="14.25" customHeight="1" thickBot="1">
      <c r="A847" s="139"/>
      <c r="B847" s="139"/>
      <c r="C847" s="139"/>
    </row>
    <row r="848" spans="1:3" ht="14.25" customHeight="1" thickBot="1">
      <c r="A848" s="139"/>
      <c r="B848" s="139"/>
      <c r="C848" s="139"/>
    </row>
    <row r="849" spans="1:3" ht="14.25" customHeight="1" thickBot="1">
      <c r="A849" s="139"/>
      <c r="B849" s="139"/>
      <c r="C849" s="139"/>
    </row>
    <row r="850" spans="1:3" ht="14.25" customHeight="1" thickBot="1">
      <c r="A850" s="139"/>
      <c r="B850" s="139"/>
      <c r="C850" s="139"/>
    </row>
    <row r="851" spans="1:3" ht="14.25" customHeight="1" thickBot="1">
      <c r="A851" s="139"/>
      <c r="B851" s="139"/>
      <c r="C851" s="139"/>
    </row>
    <row r="852" spans="1:3" ht="14.25" customHeight="1" thickBot="1">
      <c r="A852" s="139"/>
      <c r="B852" s="139"/>
      <c r="C852" s="139"/>
    </row>
    <row r="853" spans="1:3" ht="14.25" customHeight="1" thickBot="1">
      <c r="A853" s="139"/>
      <c r="B853" s="139"/>
      <c r="C853" s="139"/>
    </row>
    <row r="854" spans="1:3" ht="14.25" customHeight="1" thickBot="1">
      <c r="A854" s="139"/>
      <c r="B854" s="139"/>
      <c r="C854" s="139"/>
    </row>
    <row r="855" spans="1:3" ht="14.25" customHeight="1" thickBot="1">
      <c r="A855" s="139"/>
      <c r="B855" s="139"/>
      <c r="C855" s="139"/>
    </row>
    <row r="856" spans="1:3" ht="14.25" customHeight="1" thickBot="1">
      <c r="A856" s="139"/>
      <c r="B856" s="139"/>
      <c r="C856" s="139"/>
    </row>
    <row r="857" spans="1:3" ht="14.25" customHeight="1" thickBot="1">
      <c r="A857" s="139"/>
      <c r="B857" s="139"/>
      <c r="C857" s="139"/>
    </row>
    <row r="858" spans="1:3" ht="14.25" customHeight="1" thickBot="1">
      <c r="A858" s="139"/>
      <c r="B858" s="139"/>
      <c r="C858" s="139"/>
    </row>
    <row r="859" spans="1:3" ht="14.25" customHeight="1" thickBot="1">
      <c r="A859" s="139"/>
      <c r="B859" s="139"/>
      <c r="C859" s="139"/>
    </row>
    <row r="860" spans="1:3" ht="14.25" customHeight="1" thickBot="1">
      <c r="A860" s="139"/>
      <c r="B860" s="139"/>
      <c r="C860" s="139"/>
    </row>
    <row r="861" spans="1:3" ht="14.25" customHeight="1" thickBot="1">
      <c r="A861" s="139"/>
      <c r="B861" s="139"/>
      <c r="C861" s="139"/>
    </row>
    <row r="862" spans="1:3" ht="14.25" customHeight="1" thickBot="1">
      <c r="A862" s="139"/>
      <c r="B862" s="139"/>
      <c r="C862" s="139"/>
    </row>
    <row r="863" spans="1:3" ht="14.25" customHeight="1" thickBot="1">
      <c r="A863" s="139"/>
      <c r="B863" s="139"/>
      <c r="C863" s="139"/>
    </row>
    <row r="864" spans="1:3" ht="14.25" customHeight="1" thickBot="1">
      <c r="A864" s="139"/>
      <c r="B864" s="139"/>
      <c r="C864" s="139"/>
    </row>
    <row r="865" spans="1:3" ht="14.25" customHeight="1" thickBot="1">
      <c r="A865" s="139"/>
      <c r="B865" s="139"/>
      <c r="C865" s="139"/>
    </row>
    <row r="866" spans="1:3" ht="14.25" customHeight="1" thickBot="1">
      <c r="A866" s="139"/>
      <c r="B866" s="139"/>
      <c r="C866" s="139"/>
    </row>
    <row r="867" spans="1:3" ht="14.25" customHeight="1" thickBot="1">
      <c r="A867" s="139"/>
      <c r="B867" s="139"/>
      <c r="C867" s="139"/>
    </row>
    <row r="868" spans="1:3" ht="14.25" customHeight="1" thickBot="1">
      <c r="A868" s="139"/>
      <c r="B868" s="139"/>
      <c r="C868" s="139"/>
    </row>
    <row r="869" spans="1:3" ht="14.25" customHeight="1" thickBot="1">
      <c r="A869" s="139"/>
      <c r="B869" s="139"/>
      <c r="C869" s="139"/>
    </row>
    <row r="870" spans="1:3" ht="14.25" customHeight="1" thickBot="1">
      <c r="A870" s="139"/>
      <c r="B870" s="139"/>
      <c r="C870" s="139"/>
    </row>
    <row r="871" spans="1:3" ht="14.25" customHeight="1" thickBot="1">
      <c r="A871" s="139"/>
      <c r="B871" s="139"/>
      <c r="C871" s="139"/>
    </row>
    <row r="872" spans="1:3" ht="14.25" customHeight="1" thickBot="1">
      <c r="A872" s="139"/>
      <c r="B872" s="139"/>
      <c r="C872" s="139"/>
    </row>
    <row r="873" spans="1:3" ht="14.25" customHeight="1" thickBot="1">
      <c r="A873" s="139"/>
      <c r="B873" s="139"/>
      <c r="C873" s="139"/>
    </row>
    <row r="874" spans="1:3" ht="14.25" customHeight="1" thickBot="1">
      <c r="A874" s="139"/>
      <c r="B874" s="139"/>
      <c r="C874" s="139"/>
    </row>
    <row r="875" spans="1:3" ht="14.25" customHeight="1" thickBot="1">
      <c r="A875" s="139"/>
      <c r="B875" s="139"/>
      <c r="C875" s="139"/>
    </row>
    <row r="876" spans="1:3" ht="14.25" customHeight="1" thickBot="1">
      <c r="A876" s="139"/>
      <c r="B876" s="139"/>
      <c r="C876" s="139"/>
    </row>
    <row r="877" spans="1:3" ht="14.25" customHeight="1" thickBot="1">
      <c r="A877" s="139"/>
      <c r="B877" s="139"/>
      <c r="C877" s="139"/>
    </row>
    <row r="878" spans="1:3" ht="14.25" customHeight="1" thickBot="1">
      <c r="A878" s="139"/>
      <c r="B878" s="139"/>
      <c r="C878" s="139"/>
    </row>
    <row r="879" spans="1:3" ht="14.25" customHeight="1" thickBot="1">
      <c r="A879" s="139"/>
      <c r="B879" s="139"/>
      <c r="C879" s="139"/>
    </row>
    <row r="880" spans="1:3" ht="14.25" customHeight="1" thickBot="1">
      <c r="A880" s="139"/>
      <c r="B880" s="139"/>
      <c r="C880" s="139"/>
    </row>
    <row r="881" spans="1:3" ht="14.25" customHeight="1" thickBot="1">
      <c r="A881" s="139"/>
      <c r="B881" s="139"/>
      <c r="C881" s="139"/>
    </row>
    <row r="882" spans="1:3" ht="14.25" customHeight="1" thickBot="1">
      <c r="A882" s="139"/>
      <c r="B882" s="139"/>
      <c r="C882" s="139"/>
    </row>
    <row r="883" spans="1:3" ht="14.25" customHeight="1" thickBot="1">
      <c r="A883" s="139"/>
      <c r="B883" s="139"/>
      <c r="C883" s="139"/>
    </row>
    <row r="884" spans="1:3" ht="14.25" customHeight="1" thickBot="1">
      <c r="A884" s="139"/>
      <c r="B884" s="139"/>
      <c r="C884" s="139"/>
    </row>
    <row r="885" spans="1:3" ht="14.25" customHeight="1" thickBot="1">
      <c r="A885" s="139"/>
      <c r="B885" s="139"/>
      <c r="C885" s="139"/>
    </row>
    <row r="886" spans="1:3" ht="14.25" customHeight="1" thickBot="1">
      <c r="A886" s="139"/>
      <c r="B886" s="139"/>
      <c r="C886" s="139"/>
    </row>
    <row r="887" spans="1:3" ht="14.25" customHeight="1" thickBot="1">
      <c r="A887" s="139"/>
      <c r="B887" s="139"/>
      <c r="C887" s="139"/>
    </row>
    <row r="888" spans="1:3" ht="14.25" customHeight="1" thickBot="1">
      <c r="A888" s="139"/>
      <c r="B888" s="139"/>
      <c r="C888" s="139"/>
    </row>
    <row r="889" spans="1:3" ht="14.25" customHeight="1" thickBot="1">
      <c r="A889" s="139"/>
      <c r="B889" s="139"/>
      <c r="C889" s="139"/>
    </row>
    <row r="890" spans="1:3" ht="14.25" customHeight="1" thickBot="1">
      <c r="A890" s="139"/>
      <c r="B890" s="139"/>
      <c r="C890" s="139"/>
    </row>
    <row r="891" spans="1:3" ht="14.25" customHeight="1" thickBot="1">
      <c r="A891" s="139"/>
      <c r="B891" s="139"/>
      <c r="C891" s="139"/>
    </row>
    <row r="892" spans="1:3" ht="14.25" customHeight="1" thickBot="1">
      <c r="A892" s="139"/>
      <c r="B892" s="139"/>
      <c r="C892" s="139"/>
    </row>
    <row r="893" spans="1:3" ht="14.25" customHeight="1" thickBot="1">
      <c r="A893" s="139"/>
      <c r="B893" s="139"/>
      <c r="C893" s="139"/>
    </row>
    <row r="894" spans="1:3" ht="14.25" customHeight="1" thickBot="1">
      <c r="A894" s="139"/>
      <c r="B894" s="139"/>
      <c r="C894" s="139"/>
    </row>
    <row r="895" spans="1:3" ht="14.25" customHeight="1" thickBot="1">
      <c r="A895" s="139"/>
      <c r="B895" s="139"/>
      <c r="C895" s="139"/>
    </row>
    <row r="896" spans="1:3" ht="14.25" customHeight="1" thickBot="1">
      <c r="A896" s="139"/>
      <c r="B896" s="139"/>
      <c r="C896" s="139"/>
    </row>
    <row r="897" spans="1:3" ht="14.25" customHeight="1" thickBot="1">
      <c r="A897" s="139"/>
      <c r="B897" s="139"/>
      <c r="C897" s="139"/>
    </row>
    <row r="898" spans="1:3" ht="14.25" customHeight="1" thickBot="1">
      <c r="A898" s="139"/>
      <c r="B898" s="139"/>
      <c r="C898" s="139"/>
    </row>
    <row r="899" spans="1:3" ht="14.25" customHeight="1" thickBot="1">
      <c r="A899" s="139"/>
      <c r="B899" s="139"/>
      <c r="C899" s="139"/>
    </row>
    <row r="900" spans="1:3" ht="14.25" customHeight="1" thickBot="1">
      <c r="A900" s="139"/>
      <c r="B900" s="139"/>
      <c r="C900" s="139"/>
    </row>
    <row r="901" spans="1:3" ht="14.25" customHeight="1" thickBot="1">
      <c r="A901" s="139"/>
      <c r="B901" s="139"/>
      <c r="C901" s="139"/>
    </row>
    <row r="902" spans="1:3" ht="14.25" customHeight="1" thickBot="1">
      <c r="A902" s="139"/>
      <c r="B902" s="139"/>
      <c r="C902" s="139"/>
    </row>
    <row r="903" spans="1:3" ht="14.25" customHeight="1" thickBot="1">
      <c r="A903" s="139"/>
      <c r="B903" s="139"/>
      <c r="C903" s="139"/>
    </row>
    <row r="904" spans="1:3" ht="14.25" customHeight="1" thickBot="1">
      <c r="A904" s="139"/>
      <c r="B904" s="139"/>
      <c r="C904" s="139"/>
    </row>
    <row r="905" spans="1:3" ht="14.25" customHeight="1" thickBot="1">
      <c r="A905" s="139"/>
      <c r="B905" s="139"/>
      <c r="C905" s="139"/>
    </row>
    <row r="906" spans="1:3" ht="14.25" customHeight="1" thickBot="1">
      <c r="A906" s="139"/>
      <c r="B906" s="139"/>
      <c r="C906" s="139"/>
    </row>
    <row r="907" spans="1:3" ht="14.25" customHeight="1" thickBot="1">
      <c r="A907" s="139"/>
      <c r="B907" s="139"/>
      <c r="C907" s="139"/>
    </row>
    <row r="908" spans="1:3" ht="14.25" customHeight="1" thickBot="1">
      <c r="A908" s="139"/>
      <c r="B908" s="139"/>
      <c r="C908" s="139"/>
    </row>
    <row r="909" spans="1:3" ht="14.25" customHeight="1" thickBot="1">
      <c r="A909" s="139"/>
      <c r="B909" s="139"/>
      <c r="C909" s="139"/>
    </row>
    <row r="910" spans="1:3" ht="14.25" customHeight="1" thickBot="1">
      <c r="A910" s="139"/>
      <c r="B910" s="139"/>
      <c r="C910" s="139"/>
    </row>
    <row r="911" spans="1:3" ht="14.25" customHeight="1" thickBot="1">
      <c r="A911" s="139"/>
      <c r="B911" s="139"/>
      <c r="C911" s="139"/>
    </row>
    <row r="912" spans="1:3" ht="14.25" customHeight="1" thickBot="1">
      <c r="A912" s="139"/>
      <c r="B912" s="139"/>
      <c r="C912" s="139"/>
    </row>
    <row r="913" spans="1:3" ht="14.25" customHeight="1" thickBot="1">
      <c r="A913" s="139"/>
      <c r="B913" s="139"/>
      <c r="C913" s="139"/>
    </row>
    <row r="914" spans="1:3" ht="14.25" customHeight="1" thickBot="1">
      <c r="A914" s="139"/>
      <c r="B914" s="139"/>
      <c r="C914" s="139"/>
    </row>
    <row r="915" spans="1:3" ht="14.25" customHeight="1" thickBot="1">
      <c r="A915" s="139"/>
      <c r="B915" s="139"/>
      <c r="C915" s="139"/>
    </row>
    <row r="916" spans="1:3" ht="14.25" customHeight="1" thickBot="1">
      <c r="A916" s="139"/>
      <c r="B916" s="139"/>
      <c r="C916" s="139"/>
    </row>
    <row r="917" spans="1:3" ht="14.25" customHeight="1" thickBot="1">
      <c r="A917" s="139"/>
      <c r="B917" s="139"/>
      <c r="C917" s="139"/>
    </row>
    <row r="918" spans="1:3" ht="14.25" customHeight="1" thickBot="1">
      <c r="A918" s="139"/>
      <c r="B918" s="139"/>
      <c r="C918" s="139"/>
    </row>
    <row r="919" spans="1:3" ht="14.25" customHeight="1" thickBot="1">
      <c r="A919" s="139"/>
      <c r="B919" s="139"/>
      <c r="C919" s="139"/>
    </row>
    <row r="920" spans="1:3" ht="14.25" customHeight="1" thickBot="1">
      <c r="A920" s="139"/>
      <c r="B920" s="139"/>
      <c r="C920" s="139"/>
    </row>
    <row r="921" spans="1:3" ht="14.25" customHeight="1" thickBot="1">
      <c r="A921" s="139"/>
      <c r="B921" s="139"/>
      <c r="C921" s="139"/>
    </row>
    <row r="922" spans="1:3" ht="14.25" customHeight="1" thickBot="1">
      <c r="A922" s="139"/>
      <c r="B922" s="139"/>
      <c r="C922" s="139"/>
    </row>
    <row r="923" spans="1:3" ht="14.25" customHeight="1" thickBot="1">
      <c r="A923" s="139"/>
      <c r="B923" s="139"/>
      <c r="C923" s="139"/>
    </row>
    <row r="924" spans="1:3" ht="14.25" customHeight="1" thickBot="1">
      <c r="A924" s="139"/>
      <c r="B924" s="139"/>
      <c r="C924" s="139"/>
    </row>
    <row r="925" spans="1:3" ht="14.25" customHeight="1" thickBot="1">
      <c r="A925" s="139"/>
      <c r="B925" s="139"/>
      <c r="C925" s="139"/>
    </row>
    <row r="926" spans="1:3" ht="14.25" customHeight="1" thickBot="1">
      <c r="A926" s="139"/>
      <c r="B926" s="139"/>
      <c r="C926" s="139"/>
    </row>
    <row r="927" spans="1:3" ht="14.25" customHeight="1" thickBot="1">
      <c r="A927" s="139"/>
      <c r="B927" s="139"/>
      <c r="C927" s="139"/>
    </row>
    <row r="928" spans="1:3" ht="14.25" customHeight="1" thickBot="1">
      <c r="A928" s="139"/>
      <c r="B928" s="139"/>
      <c r="C928" s="139"/>
    </row>
    <row r="929" spans="1:3" ht="14.25" customHeight="1" thickBot="1">
      <c r="A929" s="139"/>
      <c r="B929" s="139"/>
      <c r="C929" s="139"/>
    </row>
    <row r="930" spans="1:3" ht="14.25" customHeight="1" thickBot="1">
      <c r="A930" s="139"/>
      <c r="B930" s="139"/>
      <c r="C930" s="139"/>
    </row>
    <row r="931" spans="1:3" ht="14.25" customHeight="1" thickBot="1">
      <c r="A931" s="139"/>
      <c r="B931" s="139"/>
      <c r="C931" s="139"/>
    </row>
    <row r="932" spans="1:3" ht="14.25" customHeight="1" thickBot="1">
      <c r="A932" s="139"/>
      <c r="B932" s="139"/>
      <c r="C932" s="139"/>
    </row>
    <row r="933" spans="1:3" ht="14.25" customHeight="1" thickBot="1">
      <c r="A933" s="139"/>
      <c r="B933" s="139"/>
      <c r="C933" s="139"/>
    </row>
    <row r="934" spans="1:3" ht="14.25" customHeight="1" thickBot="1">
      <c r="A934" s="139"/>
      <c r="B934" s="139"/>
      <c r="C934" s="139"/>
    </row>
    <row r="935" spans="1:3" ht="14.25" customHeight="1" thickBot="1">
      <c r="A935" s="139"/>
      <c r="B935" s="139"/>
      <c r="C935" s="139"/>
    </row>
    <row r="936" spans="1:3" ht="14.25" customHeight="1" thickBot="1">
      <c r="A936" s="139"/>
      <c r="B936" s="139"/>
      <c r="C936" s="139"/>
    </row>
    <row r="937" spans="1:3" ht="14.25" customHeight="1" thickBot="1">
      <c r="A937" s="139"/>
      <c r="B937" s="139"/>
      <c r="C937" s="139"/>
    </row>
    <row r="938" spans="1:3" ht="14.25" customHeight="1" thickBot="1">
      <c r="A938" s="139"/>
      <c r="B938" s="139"/>
      <c r="C938" s="139"/>
    </row>
    <row r="939" spans="1:3" ht="14.25" customHeight="1" thickBot="1">
      <c r="A939" s="139"/>
      <c r="B939" s="139"/>
      <c r="C939" s="139"/>
    </row>
    <row r="940" spans="1:3" ht="14.25" customHeight="1" thickBot="1">
      <c r="A940" s="139"/>
      <c r="B940" s="139"/>
      <c r="C940" s="139"/>
    </row>
    <row r="941" spans="1:3" ht="14.25" customHeight="1" thickBot="1">
      <c r="A941" s="139"/>
      <c r="B941" s="139"/>
      <c r="C941" s="139"/>
    </row>
    <row r="942" spans="1:3" ht="14.25" customHeight="1" thickBot="1">
      <c r="A942" s="139"/>
      <c r="B942" s="139"/>
      <c r="C942" s="139"/>
    </row>
    <row r="943" spans="1:3" ht="14.25" customHeight="1" thickBot="1">
      <c r="A943" s="139"/>
      <c r="B943" s="139"/>
      <c r="C943" s="139"/>
    </row>
    <row r="944" spans="1:3" ht="14.25" customHeight="1" thickBot="1">
      <c r="A944" s="139"/>
      <c r="B944" s="139"/>
      <c r="C944" s="139"/>
    </row>
    <row r="945" spans="1:3" ht="14.25" customHeight="1" thickBot="1">
      <c r="A945" s="139"/>
      <c r="B945" s="139"/>
      <c r="C945" s="139"/>
    </row>
    <row r="946" spans="1:3" ht="14.25" customHeight="1" thickBot="1">
      <c r="A946" s="139"/>
      <c r="B946" s="139"/>
      <c r="C946" s="139"/>
    </row>
    <row r="947" spans="1:3" ht="14.25" customHeight="1" thickBot="1">
      <c r="A947" s="139"/>
      <c r="B947" s="139"/>
      <c r="C947" s="139"/>
    </row>
    <row r="948" spans="1:3" ht="14.25" customHeight="1" thickBot="1">
      <c r="A948" s="139"/>
      <c r="B948" s="139"/>
      <c r="C948" s="139"/>
    </row>
    <row r="949" spans="1:3" ht="14.25" customHeight="1" thickBot="1">
      <c r="A949" s="139"/>
      <c r="B949" s="139"/>
      <c r="C949" s="139"/>
    </row>
    <row r="950" spans="1:3" ht="14.25" customHeight="1" thickBot="1">
      <c r="A950" s="139"/>
      <c r="B950" s="139"/>
      <c r="C950" s="139"/>
    </row>
    <row r="951" spans="1:3" ht="14.25" customHeight="1" thickBot="1">
      <c r="A951" s="139"/>
      <c r="B951" s="139"/>
      <c r="C951" s="139"/>
    </row>
    <row r="952" spans="1:3" ht="14.25" customHeight="1" thickBot="1">
      <c r="A952" s="139"/>
      <c r="B952" s="139"/>
      <c r="C952" s="139"/>
    </row>
    <row r="953" spans="1:3" ht="14.25" customHeight="1" thickBot="1">
      <c r="A953" s="139"/>
      <c r="B953" s="139"/>
      <c r="C953" s="139"/>
    </row>
    <row r="954" spans="1:3" ht="14.25" customHeight="1" thickBot="1">
      <c r="A954" s="139"/>
      <c r="B954" s="139"/>
      <c r="C954" s="139"/>
    </row>
    <row r="955" spans="1:3" ht="14.25" customHeight="1" thickBot="1">
      <c r="A955" s="139"/>
      <c r="B955" s="139"/>
      <c r="C955" s="139"/>
    </row>
    <row r="956" spans="1:3" ht="14.25" customHeight="1" thickBot="1">
      <c r="A956" s="139"/>
      <c r="B956" s="139"/>
      <c r="C956" s="139"/>
    </row>
    <row r="957" spans="1:3" ht="14.25" customHeight="1" thickBot="1">
      <c r="A957" s="139"/>
      <c r="B957" s="139"/>
      <c r="C957" s="139"/>
    </row>
    <row r="958" spans="1:3" ht="14.25" customHeight="1" thickBot="1">
      <c r="A958" s="139"/>
      <c r="B958" s="139"/>
      <c r="C958" s="139"/>
    </row>
    <row r="959" spans="1:3" ht="14.25" customHeight="1" thickBot="1">
      <c r="A959" s="139"/>
      <c r="B959" s="139"/>
      <c r="C959" s="139"/>
    </row>
    <row r="960" spans="1:3" ht="14.25" customHeight="1" thickBot="1">
      <c r="A960" s="139"/>
      <c r="B960" s="139"/>
      <c r="C960" s="139"/>
    </row>
    <row r="961" spans="1:3" ht="14.25" customHeight="1" thickBot="1">
      <c r="A961" s="139"/>
      <c r="B961" s="139"/>
      <c r="C961" s="139"/>
    </row>
    <row r="962" spans="1:3" ht="14.25" customHeight="1" thickBot="1">
      <c r="A962" s="139"/>
      <c r="B962" s="139"/>
      <c r="C962" s="139"/>
    </row>
    <row r="963" spans="1:3" ht="14.25" customHeight="1" thickBot="1">
      <c r="A963" s="139"/>
      <c r="B963" s="139"/>
      <c r="C963" s="139"/>
    </row>
    <row r="964" spans="1:3" ht="14.25" customHeight="1" thickBot="1">
      <c r="A964" s="139"/>
      <c r="B964" s="139"/>
      <c r="C964" s="139"/>
    </row>
    <row r="965" spans="1:3" ht="14.25" customHeight="1" thickBot="1">
      <c r="A965" s="139"/>
      <c r="B965" s="139"/>
      <c r="C965" s="139"/>
    </row>
    <row r="966" spans="1:3" ht="14.25" customHeight="1" thickBot="1">
      <c r="A966" s="139"/>
      <c r="B966" s="139"/>
      <c r="C966" s="139"/>
    </row>
    <row r="967" spans="1:3" ht="14.25" customHeight="1" thickBot="1">
      <c r="A967" s="139"/>
      <c r="B967" s="139"/>
      <c r="C967" s="139"/>
    </row>
    <row r="968" spans="1:3" ht="14.25" customHeight="1" thickBot="1">
      <c r="A968" s="139"/>
      <c r="B968" s="139"/>
      <c r="C968" s="139"/>
    </row>
    <row r="969" spans="1:3" ht="14.25" customHeight="1" thickBot="1">
      <c r="A969" s="139"/>
      <c r="B969" s="139"/>
      <c r="C969" s="139"/>
    </row>
    <row r="970" spans="1:3" ht="14.25" customHeight="1" thickBot="1">
      <c r="A970" s="139"/>
      <c r="B970" s="139"/>
      <c r="C970" s="139"/>
    </row>
    <row r="971" spans="1:3" ht="14.25" customHeight="1" thickBot="1">
      <c r="A971" s="139"/>
      <c r="B971" s="139"/>
      <c r="C971" s="139"/>
    </row>
    <row r="972" spans="1:3" ht="14.25" customHeight="1" thickBot="1">
      <c r="A972" s="139"/>
      <c r="B972" s="139"/>
      <c r="C972" s="139"/>
    </row>
    <row r="973" spans="1:3" ht="14.25" customHeight="1" thickBot="1">
      <c r="A973" s="139"/>
      <c r="B973" s="139"/>
      <c r="C973" s="139"/>
    </row>
    <row r="974" spans="1:3" ht="14.25" customHeight="1" thickBot="1">
      <c r="A974" s="139"/>
      <c r="B974" s="139"/>
      <c r="C974" s="139"/>
    </row>
  </sheetData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A70C-4582-4B22-A5CB-12DA05A40593}">
  <sheetPr codeName="Hoja11"/>
  <dimension ref="A1:F10"/>
  <sheetViews>
    <sheetView showGridLines="0" zoomScale="85" zoomScaleNormal="85" workbookViewId="0">
      <selection activeCell="D9" sqref="D9"/>
    </sheetView>
  </sheetViews>
  <sheetFormatPr baseColWidth="10" defaultColWidth="11.5703125" defaultRowHeight="14.25" customHeight="1" outlineLevelCol="1"/>
  <cols>
    <col min="1" max="1" width="15.7109375" style="14" customWidth="1"/>
    <col min="2" max="2" width="17.5703125" style="14" customWidth="1"/>
    <col min="3" max="3" width="41.5703125" style="14" bestFit="1" customWidth="1"/>
    <col min="4" max="4" width="17.5703125" style="14" customWidth="1"/>
    <col min="5" max="5" width="40.7109375" style="14" customWidth="1" outlineLevel="1"/>
    <col min="6" max="6" width="15.7109375" style="14" customWidth="1" outlineLevel="1"/>
    <col min="7" max="8" width="15.7109375" style="14" customWidth="1"/>
    <col min="9" max="16384" width="11.5703125" style="14"/>
  </cols>
  <sheetData>
    <row r="1" spans="1:4" ht="30" customHeight="1">
      <c r="A1" s="38" t="s">
        <v>5</v>
      </c>
      <c r="B1" s="38" t="s">
        <v>6</v>
      </c>
      <c r="C1" s="39" t="s">
        <v>7</v>
      </c>
      <c r="D1" s="39" t="s">
        <v>8</v>
      </c>
    </row>
    <row r="2" spans="1:4" ht="14.25" customHeight="1">
      <c r="A2" s="8"/>
      <c r="B2" s="8"/>
      <c r="C2" s="8"/>
      <c r="D2" s="8" t="s">
        <v>52</v>
      </c>
    </row>
    <row r="3" spans="1:4" ht="14.25" customHeight="1">
      <c r="A3" s="8"/>
      <c r="B3" s="8"/>
      <c r="C3" s="8"/>
      <c r="D3" s="8" t="s">
        <v>41</v>
      </c>
    </row>
    <row r="4" spans="1:4" ht="14.25" customHeight="1">
      <c r="A4" s="8" t="s">
        <v>372</v>
      </c>
      <c r="B4" s="8"/>
      <c r="C4" s="8" t="s">
        <v>373</v>
      </c>
      <c r="D4" s="8" t="s">
        <v>709</v>
      </c>
    </row>
    <row r="5" spans="1:4" ht="14.25" customHeight="1">
      <c r="A5" s="8"/>
      <c r="B5" s="8"/>
      <c r="C5" s="8"/>
      <c r="D5" s="8" t="s">
        <v>307</v>
      </c>
    </row>
    <row r="6" spans="1:4" ht="14.25" customHeight="1">
      <c r="A6" s="8"/>
      <c r="B6" s="8"/>
      <c r="C6" s="8"/>
      <c r="D6" s="8" t="s">
        <v>313</v>
      </c>
    </row>
    <row r="7" spans="1:4" ht="14.25" customHeight="1">
      <c r="A7" s="8"/>
      <c r="B7" s="8"/>
      <c r="C7" s="8"/>
      <c r="D7" s="8" t="s">
        <v>319</v>
      </c>
    </row>
    <row r="8" spans="1:4" ht="14.25" customHeight="1">
      <c r="A8" s="8"/>
      <c r="B8" s="8"/>
      <c r="C8" s="8"/>
      <c r="D8" s="8" t="s">
        <v>326</v>
      </c>
    </row>
    <row r="9" spans="1:4" ht="14.25" customHeight="1">
      <c r="A9" s="8"/>
      <c r="B9" s="8"/>
      <c r="C9" s="8"/>
      <c r="D9" s="8"/>
    </row>
    <row r="10" spans="1:4" ht="14.25" customHeight="1">
      <c r="A10" s="8"/>
      <c r="B10" s="8"/>
      <c r="C10" s="8"/>
      <c r="D10" s="8"/>
    </row>
  </sheetData>
  <autoFilter ref="A1:D5" xr:uid="{2419A70C-4582-4B22-A5CB-12DA05A40593}">
    <sortState xmlns:xlrd2="http://schemas.microsoft.com/office/spreadsheetml/2017/richdata2" ref="A2:D5">
      <sortCondition ref="D1:D5"/>
    </sortState>
  </autoFilter>
  <phoneticPr fontId="6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Data</vt:lpstr>
      <vt:lpstr>Reportería</vt:lpstr>
      <vt:lpstr>Fórmulas</vt:lpstr>
      <vt:lpstr>Productividad</vt:lpstr>
      <vt:lpstr>HC</vt:lpstr>
      <vt:lpstr>Ejecutivos</vt:lpstr>
      <vt:lpstr>Avance</vt:lpstr>
      <vt:lpstr>Funnel</vt:lpstr>
      <vt:lpstr>C</vt:lpstr>
      <vt:lpstr>BV</vt:lpstr>
      <vt:lpstr>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Lancelot Tavara Portuguez</dc:creator>
  <cp:lastModifiedBy>Lancelot Tavara</cp:lastModifiedBy>
  <dcterms:created xsi:type="dcterms:W3CDTF">2026-05-20T22:15:37Z</dcterms:created>
  <dcterms:modified xsi:type="dcterms:W3CDTF">2026-06-22T02:14:37Z</dcterms:modified>
</cp:coreProperties>
</file>